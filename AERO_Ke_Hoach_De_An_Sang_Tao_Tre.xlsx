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Kỹ Thuật &amp; R&amp;D" sheetId="1" state="visible" r:id="rId1"/>
    <sheet name="Kinh Tế &amp; Thương Mại" sheetId="2" state="visible" r:id="rId2"/>
  </sheets>
  <definedNames/>
  <calcPr calcId="0" fullCalcOnLoad="1"/>
</workbook>
</file>

<file path=xl/styles.xml><?xml version="1.0" encoding="utf-8"?>
<styleSheet xmlns="http://schemas.openxmlformats.org/spreadsheetml/2006/main">
  <numFmts count="2">
    <numFmt numFmtId="164" formatCode="#,##0 &quot;đ&quot;"/>
    <numFmt numFmtId="165" formatCode="#,##0.0 &quot;Tr&quot;"/>
  </numFmts>
  <fonts count="36">
    <font>
      <name val="Calibri"/>
      <color theme="1"/>
      <sz val="11"/>
      <scheme val="minor"/>
    </font>
    <font>
      <name val="Quattrocento Sans"/>
      <b val="1"/>
      <color rgb="FFFFFFFF"/>
      <sz val="16"/>
    </font>
    <font>
      <name val="Calibri"/>
      <sz val="11"/>
    </font>
    <font>
      <name val="Quattrocento Sans"/>
      <i val="1"/>
      <color rgb="FFE2E8F0"/>
      <sz val="11"/>
    </font>
    <font>
      <name val="Calibri"/>
      <color theme="1"/>
      <sz val="11"/>
      <scheme val="minor"/>
    </font>
    <font>
      <name val="Quattrocento Sans"/>
      <b val="1"/>
      <color rgb="FF64748B"/>
      <sz val="9"/>
    </font>
    <font>
      <name val="Quattrocento Sans"/>
      <b val="1"/>
      <color rgb="FF0284C7"/>
      <sz val="13"/>
    </font>
    <font>
      <name val="Quattrocento Sans"/>
      <b val="1"/>
      <color rgb="FF10B981"/>
      <sz val="13"/>
    </font>
    <font>
      <name val="Quattrocento Sans"/>
      <b val="1"/>
      <color rgb="FFF59E0B"/>
      <sz val="13"/>
    </font>
    <font>
      <name val="Quattrocento Sans"/>
      <b val="1"/>
      <color rgb="FF6366F1"/>
      <sz val="13"/>
    </font>
    <font>
      <name val="Quattrocento Sans"/>
      <b val="1"/>
      <color rgb="FF0F172A"/>
      <sz val="13"/>
    </font>
    <font>
      <name val="Quattrocento Sans"/>
      <b val="1"/>
      <color rgb="FF1E293B"/>
      <sz val="10"/>
    </font>
    <font>
      <name val="Quattrocento Sans"/>
      <b val="1"/>
      <color rgb="FF059669"/>
      <sz val="13"/>
    </font>
    <font>
      <name val="Quattrocento Sans"/>
      <b val="1"/>
      <color rgb="FF0F172A"/>
      <sz val="11"/>
    </font>
    <font>
      <name val="Quattrocento Sans"/>
      <b val="1"/>
      <color rgb="FF0F766E"/>
      <sz val="13"/>
    </font>
    <font>
      <name val="Quattrocento Sans"/>
      <color rgb="FF1E293B"/>
      <sz val="10"/>
    </font>
    <font>
      <name val="Quattrocento Sans"/>
      <b val="1"/>
      <color rgb="FFD97706"/>
      <sz val="13"/>
    </font>
    <font>
      <name val="Quattrocento Sans"/>
      <b val="1"/>
      <color rgb="FF4338CA"/>
      <sz val="13"/>
    </font>
    <font>
      <name val="Quattrocento Sans"/>
      <b val="1"/>
      <color rgb="FF166534"/>
      <sz val="9"/>
    </font>
    <font>
      <name val="Quattrocento Sans"/>
      <b val="1"/>
      <color rgb="FF000000"/>
      <sz val="9"/>
    </font>
    <font>
      <name val="Quattrocento Sans"/>
      <b val="1"/>
      <color rgb="FF475569"/>
      <sz val="9"/>
    </font>
    <font>
      <name val="Quattrocento Sans"/>
      <b val="1"/>
      <color rgb="FF92400E"/>
      <sz val="9"/>
    </font>
    <font>
      <name val="Quattrocento Sans"/>
      <b val="1"/>
      <color rgb="001E293B"/>
      <sz val="15"/>
    </font>
    <font>
      <name val="Quattrocento Sans"/>
      <i val="1"/>
      <color rgb="00475569"/>
      <sz val="10.5"/>
    </font>
    <font>
      <name val="Quattrocento Sans"/>
      <b val="1"/>
      <color rgb="00475569"/>
      <sz val="9.5"/>
    </font>
    <font>
      <name val="Quattrocento Sans"/>
      <b val="1"/>
      <color rgb="000F172A"/>
      <sz val="13"/>
    </font>
    <font>
      <name val="Quattrocento Sans"/>
      <b val="1"/>
      <color rgb="000F172A"/>
      <sz val="10"/>
    </font>
    <font>
      <name val="Quattrocento Sans"/>
      <b val="1"/>
      <color rgb="000F172A"/>
      <sz val="11"/>
    </font>
    <font>
      <name val="Quattrocento Sans"/>
      <color rgb="001E293B"/>
      <sz val="9.5"/>
    </font>
    <font>
      <name val="Consolas"/>
      <color rgb="000F172A"/>
      <sz val="9"/>
    </font>
    <font>
      <name val="Quattrocento Sans"/>
      <b val="1"/>
      <color rgb="001E293B"/>
      <sz val="9.5"/>
    </font>
    <font>
      <name val="Quattrocento Sans"/>
      <b val="1"/>
      <color rgb="0092400E"/>
      <sz val="9"/>
    </font>
    <font>
      <name val="Quattrocento Sans"/>
      <b val="1"/>
      <color rgb="00B91C1C"/>
      <sz val="9"/>
    </font>
    <font>
      <name val="Quattrocento Sans"/>
      <b val="1"/>
      <color rgb="003730A3"/>
      <sz val="9"/>
    </font>
    <font>
      <name val="Quattrocento Sans"/>
      <b val="1"/>
      <color rgb="00166534"/>
      <sz val="9"/>
    </font>
    <font>
      <name val="Quattrocento Sans"/>
      <b val="1"/>
      <color rgb="00FFFFFF"/>
      <sz val="13"/>
    </font>
  </fonts>
  <fills count="18">
    <fill>
      <patternFill/>
    </fill>
    <fill>
      <patternFill patternType="gray125"/>
    </fill>
    <fill>
      <patternFill patternType="solid">
        <fgColor rgb="FF064E3B"/>
        <bgColor rgb="FF064E3B"/>
      </patternFill>
    </fill>
    <fill>
      <patternFill patternType="solid">
        <fgColor rgb="FF1E3A8A"/>
        <bgColor rgb="FF1E3A8A"/>
      </patternFill>
    </fill>
    <fill>
      <patternFill patternType="solid">
        <fgColor rgb="FFFFFFFF"/>
        <bgColor rgb="FFFFFFFF"/>
      </patternFill>
    </fill>
    <fill>
      <patternFill patternType="solid">
        <fgColor rgb="FFE0F2FE"/>
        <bgColor rgb="FFE0F2FE"/>
      </patternFill>
    </fill>
    <fill>
      <patternFill patternType="solid">
        <fgColor rgb="FFF8FAFC"/>
        <bgColor rgb="FFF8FAFC"/>
      </patternFill>
    </fill>
    <fill>
      <patternFill patternType="solid">
        <fgColor rgb="FFD1FAE5"/>
        <bgColor rgb="FFD1FAE5"/>
      </patternFill>
    </fill>
    <fill>
      <patternFill patternType="solid">
        <fgColor rgb="00F8FAFC"/>
        <bgColor rgb="00F8FAFC"/>
      </patternFill>
    </fill>
    <fill>
      <patternFill patternType="solid">
        <fgColor rgb="00D1FAE5"/>
        <bgColor rgb="00D1FAE5"/>
      </patternFill>
    </fill>
    <fill>
      <patternFill patternType="solid">
        <fgColor rgb="00F1F5F9"/>
        <bgColor rgb="00F1F5F9"/>
      </patternFill>
    </fill>
    <fill>
      <patternFill patternType="solid">
        <fgColor rgb="00FEF3C7"/>
        <bgColor rgb="00FEF3C7"/>
      </patternFill>
    </fill>
    <fill>
      <patternFill patternType="solid">
        <fgColor rgb="00FEE2E2"/>
        <bgColor rgb="00FEE2E2"/>
      </patternFill>
    </fill>
    <fill>
      <patternFill patternType="solid">
        <fgColor rgb="00E0E7FF"/>
        <bgColor rgb="00E0E7FF"/>
      </patternFill>
    </fill>
    <fill>
      <patternFill patternType="solid">
        <fgColor rgb="00DCFCE7"/>
        <bgColor rgb="00DCFCE7"/>
      </patternFill>
    </fill>
    <fill>
      <patternFill patternType="solid">
        <fgColor rgb="000F172A"/>
        <bgColor rgb="000F172A"/>
      </patternFill>
    </fill>
    <fill>
      <patternFill patternType="solid">
        <fgColor rgb="00E2E8F0"/>
        <bgColor rgb="00E2E8F0"/>
      </patternFill>
    </fill>
    <fill>
      <patternFill patternType="solid">
        <fgColor rgb="00E6FFFA"/>
        <bgColor rgb="00E6FFFA"/>
      </patternFill>
    </fill>
  </fills>
  <borders count="41">
    <border>
      <left/>
      <right/>
      <top/>
      <bottom/>
      <diagonal/>
    </border>
    <border>
      <left/>
      <right/>
      <top/>
      <bottom/>
      <diagonal/>
    </border>
    <border>
      <left/>
      <right/>
      <top/>
      <bottom/>
      <diagonal/>
    </border>
    <border>
      <left/>
      <right/>
      <top/>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style="thin">
        <color rgb="FFCBD5E1"/>
      </right>
      <top style="thin">
        <color rgb="FFCBD5E1"/>
      </top>
      <bottom/>
      <diagonal/>
    </border>
    <border>
      <left style="thin">
        <color rgb="FFCBD5E1"/>
      </left>
      <right/>
      <top/>
      <bottom style="medium">
        <color rgb="FF0284C7"/>
      </bottom>
      <diagonal/>
    </border>
    <border>
      <left/>
      <right style="thin">
        <color rgb="FFCBD5E1"/>
      </right>
      <top/>
      <bottom style="medium">
        <color rgb="FF0284C7"/>
      </bottom>
      <diagonal/>
    </border>
    <border>
      <left style="thin">
        <color rgb="FFCBD5E1"/>
      </left>
      <right/>
      <top/>
      <bottom style="medium">
        <color rgb="FF10B981"/>
      </bottom>
      <diagonal/>
    </border>
    <border>
      <left/>
      <right style="thin">
        <color rgb="FFCBD5E1"/>
      </right>
      <top/>
      <bottom style="medium">
        <color rgb="FF10B981"/>
      </bottom>
      <diagonal/>
    </border>
    <border>
      <left style="thin">
        <color rgb="FFCBD5E1"/>
      </left>
      <right/>
      <top/>
      <bottom style="medium">
        <color rgb="FFF59E0B"/>
      </bottom>
      <diagonal/>
    </border>
    <border>
      <left/>
      <right style="thin">
        <color rgb="FFCBD5E1"/>
      </right>
      <top/>
      <bottom style="medium">
        <color rgb="FFF59E0B"/>
      </bottom>
      <diagonal/>
    </border>
    <border>
      <left style="thin">
        <color rgb="FFCBD5E1"/>
      </left>
      <right style="thin">
        <color rgb="FFCBD5E1"/>
      </right>
      <top/>
      <bottom style="medium">
        <color rgb="FF6366F1"/>
      </bottom>
      <diagonal/>
    </border>
    <border>
      <left style="thin">
        <color rgb="FFCBD5E1"/>
      </left>
      <right/>
      <top/>
      <bottom style="medium">
        <color rgb="FF0F172A"/>
      </bottom>
      <diagonal/>
    </border>
    <border>
      <left/>
      <right style="thin">
        <color rgb="FFCBD5E1"/>
      </right>
      <top/>
      <bottom style="medium">
        <color rgb="FF0F172A"/>
      </bottom>
      <diagonal/>
    </border>
    <border>
      <left style="thin">
        <color rgb="FFCBD5E1"/>
      </left>
      <right style="thin">
        <color rgb="FFCBD5E1"/>
      </right>
      <top style="thin">
        <color rgb="FFCBD5E1"/>
      </top>
      <bottom style="medium">
        <color rgb="FF0284C7"/>
      </bottom>
      <diagonal/>
    </border>
    <border>
      <left style="thin">
        <color rgb="FFCBD5E1"/>
      </left>
      <right/>
      <top/>
      <bottom style="medium">
        <color rgb="FF059669"/>
      </bottom>
      <diagonal/>
    </border>
    <border>
      <left/>
      <right style="thin">
        <color rgb="FFCBD5E1"/>
      </right>
      <top/>
      <bottom style="medium">
        <color rgb="FF059669"/>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style="thin">
        <color rgb="FFCBD5E1"/>
      </left>
      <right/>
      <top/>
      <bottom style="medium">
        <color rgb="FF0F766E"/>
      </bottom>
      <diagonal/>
    </border>
    <border>
      <left/>
      <right style="thin">
        <color rgb="FFCBD5E1"/>
      </right>
      <top style="thin">
        <color rgb="FFCBD5E1"/>
      </top>
      <bottom style="thin">
        <color rgb="FFCBD5E1"/>
      </bottom>
      <diagonal/>
    </border>
    <border>
      <left/>
      <right style="thin">
        <color rgb="FFCBD5E1"/>
      </right>
      <top/>
      <bottom style="medium">
        <color rgb="FF0F766E"/>
      </bottom>
      <diagonal/>
    </border>
    <border>
      <left style="thin">
        <color rgb="FFCBD5E1"/>
      </left>
      <right style="thin">
        <color rgb="FFCBD5E1"/>
      </right>
      <top style="thin">
        <color rgb="FFCBD5E1"/>
      </top>
      <bottom style="thin">
        <color rgb="FFCBD5E1"/>
      </bottom>
      <diagonal/>
    </border>
    <border>
      <left style="thin">
        <color rgb="FFCBD5E1"/>
      </left>
      <right/>
      <top/>
      <bottom style="medium">
        <color rgb="FFD97706"/>
      </bottom>
      <diagonal/>
    </border>
    <border>
      <left/>
      <right style="thin">
        <color rgb="FFCBD5E1"/>
      </right>
      <top/>
      <bottom style="medium">
        <color rgb="FFD97706"/>
      </bottom>
      <diagonal/>
    </border>
    <border>
      <left style="thin">
        <color rgb="FFCBD5E1"/>
      </left>
      <right style="thin">
        <color rgb="FFCBD5E1"/>
      </right>
      <top/>
      <bottom style="medium">
        <color rgb="FF4338CA"/>
      </bottom>
      <diagonal/>
    </border>
    <border>
      <left style="thin">
        <color rgb="FFCBD5E1"/>
      </left>
      <right style="thin">
        <color rgb="FFCBD5E1"/>
      </right>
      <top style="thin">
        <color rgb="FFCBD5E1"/>
      </top>
      <bottom style="medium">
        <color rgb="FF059669"/>
      </bottom>
      <diagonal/>
    </border>
    <border>
      <left/>
      <right/>
      <top style="thin">
        <color rgb="FFCBD5E1"/>
      </top>
      <bottom/>
      <diagonal/>
    </border>
    <border>
      <left style="thin">
        <color rgb="FFCBD5E1"/>
      </left>
      <right style="thin">
        <color rgb="FFCBD5E1"/>
      </right>
      <top/>
      <bottom style="medium">
        <color rgb="FF10B981"/>
      </bottom>
      <diagonal/>
    </border>
    <border>
      <left/>
      <right style="thin">
        <color rgb="FFCBD5E1"/>
      </right>
      <top/>
      <bottom/>
      <diagonal/>
    </border>
    <border>
      <left style="thin">
        <color rgb="FFCBD5E1"/>
      </left>
      <right style="thin">
        <color rgb="FFCBD5E1"/>
      </right>
      <top/>
      <bottom style="medium">
        <color rgb="FFF59E0B"/>
      </bottom>
      <diagonal/>
    </border>
    <border>
      <left style="thin">
        <color rgb="FFCBD5E1"/>
      </left>
      <right style="thin">
        <color rgb="FFCBD5E1"/>
      </right>
      <top/>
      <bottom style="medium">
        <color rgb="FF0F172A"/>
      </bottom>
      <diagonal/>
    </border>
    <border>
      <left style="thin">
        <color rgb="FFCBD5E1"/>
      </left>
      <right style="thin">
        <color rgb="FFCBD5E1"/>
      </right>
      <top/>
      <bottom style="medium">
        <color rgb="FF0284C7"/>
      </bottom>
      <diagonal/>
    </border>
    <border>
      <left style="thin">
        <color rgb="FFCBD5E1"/>
      </left>
      <right style="thin">
        <color rgb="FFCBD5E1"/>
      </right>
      <top/>
      <bottom style="medium">
        <color rgb="FF059669"/>
      </bottom>
      <diagonal/>
    </border>
    <border>
      <left style="thin">
        <color rgb="FFCBD5E1"/>
      </left>
      <right style="thin">
        <color rgb="FFCBD5E1"/>
      </right>
      <top/>
      <bottom style="medium">
        <color rgb="FF0F766E"/>
      </bottom>
      <diagonal/>
    </border>
    <border>
      <left style="thin">
        <color rgb="FFCBD5E1"/>
      </left>
      <right style="thin">
        <color rgb="FFCBD5E1"/>
      </right>
      <top/>
      <bottom style="medium">
        <color rgb="FFD97706"/>
      </bottom>
      <diagonal/>
    </border>
    <border>
      <left style="thin">
        <color rgb="00CBD5E1"/>
      </left>
      <right style="thin">
        <color rgb="00CBD5E1"/>
      </right>
      <top style="medium">
        <color rgb="00334155"/>
      </top>
      <bottom style="medium">
        <color rgb="00334155"/>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172A"/>
      </bottom>
    </border>
  </borders>
  <cellStyleXfs count="1">
    <xf numFmtId="0" fontId="4" fillId="0" borderId="3"/>
  </cellStyleXfs>
  <cellXfs count="89">
    <xf numFmtId="0" fontId="0" fillId="0" borderId="0" pivotButton="0" quotePrefix="0" xfId="0"/>
    <xf numFmtId="0" fontId="4" fillId="0" borderId="0" pivotButton="0" quotePrefix="0" xfId="0"/>
    <xf numFmtId="0" fontId="4" fillId="4" borderId="0" pivotButton="0" quotePrefix="0" xfId="0"/>
    <xf numFmtId="0" fontId="5" fillId="4" borderId="6" applyAlignment="1" pivotButton="0" quotePrefix="0" xfId="0">
      <alignment horizontal="center" vertical="center"/>
    </xf>
    <xf numFmtId="0" fontId="9" fillId="4" borderId="13" applyAlignment="1" pivotButton="0" quotePrefix="0" xfId="0">
      <alignment horizontal="center" vertical="center"/>
    </xf>
    <xf numFmtId="0" fontId="11" fillId="5" borderId="16" applyAlignment="1" pivotButton="0" quotePrefix="0" xfId="0">
      <alignment horizontal="center" vertical="center" wrapText="1"/>
    </xf>
    <xf numFmtId="0" fontId="11" fillId="4" borderId="16" applyAlignment="1" pivotButton="0" quotePrefix="0" xfId="0">
      <alignment horizontal="center" vertical="center" wrapText="1"/>
    </xf>
    <xf numFmtId="0" fontId="15" fillId="0" borderId="24" applyAlignment="1" pivotButton="0" quotePrefix="0" xfId="0">
      <alignment horizontal="center" vertical="center"/>
    </xf>
    <xf numFmtId="0" fontId="11" fillId="0" borderId="24" applyAlignment="1" pivotButton="0" quotePrefix="0" xfId="0">
      <alignment horizontal="left" vertical="center" wrapText="1"/>
    </xf>
    <xf numFmtId="0" fontId="15" fillId="0" borderId="24" applyAlignment="1" pivotButton="0" quotePrefix="0" xfId="0">
      <alignment horizontal="left" vertical="center" wrapText="1"/>
    </xf>
    <xf numFmtId="0" fontId="17" fillId="4" borderId="27" applyAlignment="1" pivotButton="0" quotePrefix="0" xfId="0">
      <alignment horizontal="center" vertical="center"/>
    </xf>
    <xf numFmtId="0" fontId="18" fillId="4" borderId="24" applyAlignment="1" pivotButton="0" quotePrefix="0" xfId="0">
      <alignment horizontal="center" vertical="center"/>
    </xf>
    <xf numFmtId="0" fontId="11" fillId="0" borderId="24" applyAlignment="1" pivotButton="0" quotePrefix="0" xfId="0">
      <alignment horizontal="center" vertical="center"/>
    </xf>
    <xf numFmtId="0" fontId="11" fillId="7" borderId="28" applyAlignment="1" pivotButton="0" quotePrefix="0" xfId="0">
      <alignment horizontal="center" vertical="center" wrapText="1"/>
    </xf>
    <xf numFmtId="0" fontId="11" fillId="4" borderId="28" applyAlignment="1" pivotButton="0" quotePrefix="0" xfId="0">
      <alignment horizontal="center" vertical="center" wrapText="1"/>
    </xf>
    <xf numFmtId="0" fontId="19" fillId="4" borderId="24" applyAlignment="1" pivotButton="0" quotePrefix="0" xfId="0">
      <alignment horizontal="center" vertical="center"/>
    </xf>
    <xf numFmtId="0" fontId="20" fillId="4" borderId="24" applyAlignment="1" pivotButton="0" quotePrefix="0" xfId="0">
      <alignment horizontal="center" vertical="center"/>
    </xf>
    <xf numFmtId="0" fontId="21" fillId="4" borderId="24" applyAlignment="1" pivotButton="0" quotePrefix="0" xfId="0">
      <alignment horizontal="center" vertical="center"/>
    </xf>
    <xf numFmtId="0" fontId="7" fillId="4" borderId="9" applyAlignment="1" pivotButton="0" quotePrefix="0" xfId="0">
      <alignment horizontal="center" vertical="center"/>
    </xf>
    <xf numFmtId="0" fontId="2" fillId="0" borderId="10" pivotButton="0" quotePrefix="0" xfId="0"/>
    <xf numFmtId="0" fontId="8" fillId="4" borderId="11" applyAlignment="1" pivotButton="0" quotePrefix="0" xfId="0">
      <alignment horizontal="center" vertical="center"/>
    </xf>
    <xf numFmtId="0" fontId="2" fillId="0" borderId="12" pivotButton="0" quotePrefix="0" xfId="0"/>
    <xf numFmtId="0" fontId="10" fillId="4" borderId="14" applyAlignment="1" pivotButton="0" quotePrefix="0" xfId="0">
      <alignment horizontal="center" vertical="center"/>
    </xf>
    <xf numFmtId="0" fontId="2" fillId="0" borderId="15" pivotButton="0" quotePrefix="0" xfId="0"/>
    <xf numFmtId="0" fontId="13" fillId="6" borderId="19" applyAlignment="1" pivotButton="0" quotePrefix="0" xfId="0">
      <alignment horizontal="left" vertical="center"/>
    </xf>
    <xf numFmtId="0" fontId="2" fillId="0" borderId="20" pivotButton="0" quotePrefix="0" xfId="0"/>
    <xf numFmtId="0" fontId="2" fillId="0" borderId="22" pivotButton="0" quotePrefix="0" xfId="0"/>
    <xf numFmtId="0" fontId="1" fillId="3"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1" applyAlignment="1" pivotButton="0" quotePrefix="0" xfId="0">
      <alignment horizontal="center" vertical="center"/>
    </xf>
    <xf numFmtId="0" fontId="5" fillId="4" borderId="4" applyAlignment="1" pivotButton="0" quotePrefix="0" xfId="0">
      <alignment horizontal="center" vertical="center"/>
    </xf>
    <xf numFmtId="0" fontId="2" fillId="0" borderId="5" pivotButton="0" quotePrefix="0" xfId="0"/>
    <xf numFmtId="0" fontId="6" fillId="4" borderId="7" applyAlignment="1" pivotButton="0" quotePrefix="0" xfId="0">
      <alignment horizontal="center" vertical="center"/>
    </xf>
    <xf numFmtId="0" fontId="2" fillId="0" borderId="8" pivotButton="0" quotePrefix="0" xfId="0"/>
    <xf numFmtId="0" fontId="14" fillId="4" borderId="21" applyAlignment="1" pivotButton="0" quotePrefix="0" xfId="0">
      <alignment horizontal="center" vertical="center"/>
    </xf>
    <xf numFmtId="0" fontId="2" fillId="0" borderId="23" pivotButton="0" quotePrefix="0" xfId="0"/>
    <xf numFmtId="0" fontId="16" fillId="4" borderId="25" applyAlignment="1" pivotButton="0" quotePrefix="0" xfId="0">
      <alignment horizontal="center" vertical="center"/>
    </xf>
    <xf numFmtId="0" fontId="2" fillId="0" borderId="26" pivotButton="0" quotePrefix="0" xfId="0"/>
    <xf numFmtId="0" fontId="1" fillId="2" borderId="1" applyAlignment="1" pivotButton="0" quotePrefix="0" xfId="0">
      <alignment horizontal="center" vertical="center"/>
    </xf>
    <xf numFmtId="0" fontId="3" fillId="2" borderId="1" applyAlignment="1" pivotButton="0" quotePrefix="0" xfId="0">
      <alignment horizontal="center" vertical="center"/>
    </xf>
    <xf numFmtId="0" fontId="12" fillId="4" borderId="17" applyAlignment="1" pivotButton="0" quotePrefix="0" xfId="0">
      <alignment horizontal="center" vertical="center"/>
    </xf>
    <xf numFmtId="0" fontId="2" fillId="0" borderId="18" pivotButton="0" quotePrefix="0" xfId="0"/>
    <xf numFmtId="0" fontId="1" fillId="3" borderId="3" applyAlignment="1" pivotButton="0" quotePrefix="0" xfId="0">
      <alignment horizontal="center" vertical="center"/>
    </xf>
    <xf numFmtId="0" fontId="3" fillId="3" borderId="3" applyAlignment="1" pivotButton="0" quotePrefix="0" xfId="0">
      <alignment horizontal="center" vertical="center"/>
    </xf>
    <xf numFmtId="0" fontId="0" fillId="0" borderId="5" pivotButton="0" quotePrefix="0" xfId="0"/>
    <xf numFmtId="0" fontId="6" fillId="4" borderId="34" applyAlignment="1" pivotButton="0" quotePrefix="0" xfId="0">
      <alignment horizontal="center" vertical="center"/>
    </xf>
    <xf numFmtId="0" fontId="0" fillId="0" borderId="8" pivotButton="0" quotePrefix="0" xfId="0"/>
    <xf numFmtId="0" fontId="7" fillId="4" borderId="30" applyAlignment="1" pivotButton="0" quotePrefix="0" xfId="0">
      <alignment horizontal="center" vertical="center"/>
    </xf>
    <xf numFmtId="0" fontId="0" fillId="0" borderId="10" pivotButton="0" quotePrefix="0" xfId="0"/>
    <xf numFmtId="0" fontId="8" fillId="4" borderId="32" applyAlignment="1" pivotButton="0" quotePrefix="0" xfId="0">
      <alignment horizontal="center" vertical="center"/>
    </xf>
    <xf numFmtId="0" fontId="0" fillId="0" borderId="12" pivotButton="0" quotePrefix="0" xfId="0"/>
    <xf numFmtId="0" fontId="10" fillId="4" borderId="33" applyAlignment="1" pivotButton="0" quotePrefix="0" xfId="0">
      <alignment horizontal="center" vertical="center"/>
    </xf>
    <xf numFmtId="0" fontId="0" fillId="0" borderId="15" pivotButton="0" quotePrefix="0" xfId="0"/>
    <xf numFmtId="0" fontId="13" fillId="6" borderId="24" applyAlignment="1" pivotButton="0" quotePrefix="0" xfId="0">
      <alignment horizontal="left" vertical="center"/>
    </xf>
    <xf numFmtId="0" fontId="0" fillId="0" borderId="20" pivotButton="0" quotePrefix="0" xfId="0"/>
    <xf numFmtId="0" fontId="0" fillId="0" borderId="22" pivotButton="0" quotePrefix="0" xfId="0"/>
    <xf numFmtId="0" fontId="22" fillId="0" borderId="0" applyAlignment="1" pivotButton="0" quotePrefix="0" xfId="0">
      <alignment horizontal="center" vertical="center"/>
    </xf>
    <xf numFmtId="0" fontId="23" fillId="0" borderId="0" applyAlignment="1" pivotButton="0" quotePrefix="0" xfId="0">
      <alignment horizontal="center" vertical="center"/>
    </xf>
    <xf numFmtId="0" fontId="24" fillId="8" borderId="0" applyAlignment="1" pivotButton="0" quotePrefix="0" xfId="0">
      <alignment horizontal="center" vertical="center"/>
    </xf>
    <xf numFmtId="0" fontId="24" fillId="8" borderId="3" applyAlignment="1" pivotButton="0" quotePrefix="0" xfId="0">
      <alignment horizontal="center" vertical="center"/>
    </xf>
    <xf numFmtId="0" fontId="25" fillId="8" borderId="0" applyAlignment="1" pivotButton="0" quotePrefix="0" xfId="0">
      <alignment horizontal="center" vertical="center"/>
    </xf>
    <xf numFmtId="0" fontId="25" fillId="8" borderId="3" applyAlignment="1" pivotButton="0" quotePrefix="0" xfId="0">
      <alignment horizontal="center" vertical="center"/>
    </xf>
    <xf numFmtId="0" fontId="26" fillId="9" borderId="38" applyAlignment="1" pivotButton="0" quotePrefix="0" xfId="0">
      <alignment horizontal="center" vertical="center" wrapText="1"/>
    </xf>
    <xf numFmtId="0" fontId="27" fillId="10" borderId="39" applyAlignment="1" pivotButton="0" quotePrefix="0" xfId="0">
      <alignment horizontal="left" vertical="center" indent="1"/>
    </xf>
    <xf numFmtId="0" fontId="0" fillId="0" borderId="39" pivotButton="0" quotePrefix="0" xfId="0"/>
    <xf numFmtId="0" fontId="29" fillId="0" borderId="39" applyAlignment="1" pivotButton="0" quotePrefix="0" xfId="0">
      <alignment horizontal="center" vertical="center" wrapText="1"/>
    </xf>
    <xf numFmtId="0" fontId="30" fillId="0" borderId="39" applyAlignment="1" pivotButton="0" quotePrefix="0" xfId="0">
      <alignment horizontal="left" vertical="center" wrapText="1"/>
    </xf>
    <xf numFmtId="0" fontId="28" fillId="0" borderId="39" applyAlignment="1" pivotButton="0" quotePrefix="0" xfId="0">
      <alignment horizontal="left" vertical="center" wrapText="1"/>
    </xf>
    <xf numFmtId="0" fontId="28" fillId="0" borderId="39" applyAlignment="1" pivotButton="0" quotePrefix="0" xfId="0">
      <alignment horizontal="center" vertical="center" wrapText="1"/>
    </xf>
    <xf numFmtId="0" fontId="31" fillId="11" borderId="39" applyAlignment="1" pivotButton="0" quotePrefix="0" xfId="0">
      <alignment horizontal="center" vertical="center" wrapText="1"/>
    </xf>
    <xf numFmtId="0" fontId="32" fillId="12" borderId="39" applyAlignment="1" pivotButton="0" quotePrefix="0" xfId="0">
      <alignment horizontal="center" vertical="center" wrapText="1"/>
    </xf>
    <xf numFmtId="0" fontId="33" fillId="13" borderId="39" applyAlignment="1" pivotButton="0" quotePrefix="0" xfId="0">
      <alignment horizontal="center" vertical="center" wrapText="1"/>
    </xf>
    <xf numFmtId="0" fontId="34" fillId="14" borderId="39" applyAlignment="1" pivotButton="0" quotePrefix="0" xfId="0">
      <alignment horizontal="center" vertical="center" wrapText="1"/>
    </xf>
    <xf numFmtId="0" fontId="28" fillId="8" borderId="39" applyAlignment="1" pivotButton="0" quotePrefix="0" xfId="0">
      <alignment horizontal="center" vertical="center" wrapText="1"/>
    </xf>
    <xf numFmtId="0" fontId="35" fillId="15" borderId="39" applyAlignment="1" pivotButton="0" quotePrefix="0" xfId="0">
      <alignment horizontal="center" vertical="center"/>
    </xf>
    <xf numFmtId="0" fontId="27" fillId="9" borderId="39" applyAlignment="1" pivotButton="0" quotePrefix="0" xfId="0">
      <alignment horizontal="left" vertical="center" indent="1"/>
    </xf>
    <xf numFmtId="0" fontId="26" fillId="16" borderId="38" applyAlignment="1" pivotButton="0" quotePrefix="0" xfId="0">
      <alignment horizontal="center" vertical="center" wrapText="1"/>
    </xf>
    <xf numFmtId="164" fontId="28" fillId="0" borderId="39" applyAlignment="1" pivotButton="0" quotePrefix="0" xfId="0">
      <alignment horizontal="right" vertical="center"/>
    </xf>
    <xf numFmtId="0" fontId="30" fillId="17" borderId="40" applyAlignment="1" pivotButton="0" quotePrefix="0" xfId="0">
      <alignment horizontal="center" vertical="center" wrapText="1"/>
    </xf>
    <xf numFmtId="0" fontId="30" fillId="17" borderId="40" applyAlignment="1" pivotButton="0" quotePrefix="0" xfId="0">
      <alignment horizontal="left" vertical="center" wrapText="1"/>
    </xf>
    <xf numFmtId="164" fontId="30" fillId="17" borderId="40" applyAlignment="1" pivotButton="0" quotePrefix="0" xfId="0">
      <alignment horizontal="right" vertical="center"/>
    </xf>
    <xf numFmtId="0" fontId="30" fillId="17" borderId="40" applyAlignment="1" pivotButton="0" quotePrefix="0" xfId="0">
      <alignment horizontal="right" vertical="center"/>
    </xf>
    <xf numFmtId="0" fontId="30" fillId="0" borderId="39" applyAlignment="1" pivotButton="0" quotePrefix="0" xfId="0">
      <alignment horizontal="center" vertical="center" wrapText="1"/>
    </xf>
    <xf numFmtId="3" fontId="28" fillId="0" borderId="39" applyAlignment="1" pivotButton="0" quotePrefix="0" xfId="0">
      <alignment horizontal="right" vertical="center"/>
    </xf>
    <xf numFmtId="165" fontId="28" fillId="0" borderId="39" applyAlignment="1" pivotButton="0" quotePrefix="0" xfId="0">
      <alignment horizontal="right" vertical="center"/>
    </xf>
    <xf numFmtId="0" fontId="30" fillId="8" borderId="39" applyAlignment="1" pivotButton="0" quotePrefix="0" xfId="0">
      <alignment horizontal="left" vertical="center" wrapText="1"/>
    </xf>
    <xf numFmtId="165" fontId="30" fillId="8" borderId="39" applyAlignment="1" pivotButton="0" quotePrefix="0" xfId="0">
      <alignment horizontal="right" vertical="center"/>
    </xf>
    <xf numFmtId="0" fontId="30" fillId="8" borderId="39"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tabSelected="1" topLeftCell="A34" workbookViewId="0">
      <selection activeCell="E31" sqref="E31"/>
    </sheetView>
  </sheetViews>
  <sheetFormatPr baseColWidth="8" defaultColWidth="14.453125" defaultRowHeight="15" customHeight="1"/>
  <cols>
    <col width="6" customWidth="1" min="1" max="1"/>
    <col width="24" customWidth="1" min="2" max="2"/>
    <col width="53.08984375" customWidth="1" min="3" max="3"/>
    <col width="26" customWidth="1" min="4" max="4"/>
    <col width="23.08984375" customWidth="1" min="5" max="5"/>
    <col width="14.81640625" customWidth="1" min="6" max="6"/>
    <col width="20.7265625" customWidth="1" min="7" max="7"/>
    <col width="10" customWidth="1" min="8" max="8"/>
    <col width="38" customWidth="1" min="9" max="9"/>
    <col width="8.7265625" customWidth="1" min="10" max="26"/>
  </cols>
  <sheetData>
    <row r="1" ht="39.75" customHeight="1">
      <c r="A1" s="43" t="inlineStr">
        <is>
          <t>DỰ ÁN AERO - BẢNG PHÂN CHIA CÔNG VIỆC VÀ TIẾN ĐỘ KỸ THUẬT (R&amp;D)</t>
        </is>
      </c>
    </row>
    <row r="2" ht="24" customHeight="1">
      <c r="A2" s="44" t="inlineStr">
        <is>
          <t>Đề án Sáng tạo trẻ 2026 | Đội thi: Innovate Future | GVHD: ThS. Nguyễn Duy Tùng (Trường CNTT&amp;TT - ĐHBK Hà Nội)</t>
        </is>
      </c>
    </row>
    <row r="3" ht="14.5" customHeight="1">
      <c r="E3" s="1" t="n"/>
      <c r="G3" s="2" t="n"/>
    </row>
    <row r="4" ht="18" customHeight="1">
      <c r="A4" s="3" t="inlineStr">
        <is>
          <t>TỔNG SỐ ĐẦU VIỆC KỸ THUẬT</t>
        </is>
      </c>
      <c r="B4" s="45" t="n"/>
      <c r="C4" s="3" t="inlineStr">
        <is>
          <t>ĐÃ HOÀN THÀNH (PROTOTYPE)</t>
        </is>
      </c>
      <c r="D4" s="45" t="n"/>
      <c r="E4" s="3" t="inlineStr">
        <is>
          <t>ĐANG TRIỂN KHAI / THỬ NGHIỆM</t>
        </is>
      </c>
      <c r="F4" s="45" t="n"/>
      <c r="G4" s="3" t="n"/>
      <c r="H4" s="3" t="n"/>
      <c r="I4" s="45" t="n"/>
    </row>
    <row r="5" ht="25.5" customHeight="1">
      <c r="A5" s="46" t="inlineStr">
        <is>
          <t>24 Hạng mục</t>
        </is>
      </c>
      <c r="B5" s="47" t="n"/>
      <c r="C5" s="48" t="inlineStr">
        <is>
          <t>17 Đầu việc (71%)</t>
        </is>
      </c>
      <c r="D5" s="49" t="n"/>
      <c r="E5" s="50" t="inlineStr">
        <is>
          <t>4 Đầu việc (17%)</t>
        </is>
      </c>
      <c r="F5" s="51" t="n"/>
      <c r="G5" s="4" t="inlineStr">
        <is>
          <t>3 Đầu việc</t>
        </is>
      </c>
      <c r="H5" s="52" t="n"/>
      <c r="I5" s="53" t="n"/>
    </row>
    <row r="6" ht="14.5" customHeight="1">
      <c r="E6" s="1" t="n"/>
      <c r="G6" s="2" t="n"/>
    </row>
    <row r="7" ht="30" customHeight="1">
      <c r="A7" s="5" t="inlineStr">
        <is>
          <t>STT</t>
        </is>
      </c>
      <c r="B7" s="5" t="inlineStr">
        <is>
          <t>Phân hệ / Nhóm nhiệm vụ</t>
        </is>
      </c>
      <c r="C7" s="5" t="inlineStr">
        <is>
          <t>Nội dung kỹ thuật chi tiết</t>
        </is>
      </c>
      <c r="D7" s="5" t="inlineStr">
        <is>
          <t>Mô-đun / Mã nguồn tương ứng</t>
        </is>
      </c>
      <c r="E7" s="5" t="inlineStr">
        <is>
          <t>Nhân sự phụ trách</t>
        </is>
      </c>
      <c r="F7" s="5" t="inlineStr">
        <is>
          <t>Deadline</t>
        </is>
      </c>
      <c r="G7" s="6" t="inlineStr">
        <is>
          <t>Trạng thái</t>
        </is>
      </c>
      <c r="H7" s="5" t="inlineStr">
        <is>
          <t>Tiến độ</t>
        </is>
      </c>
      <c r="I7" s="5" t="inlineStr">
        <is>
          <t>Kết quả nghiệm thu &amp; Bước triển khai tiếp</t>
        </is>
      </c>
    </row>
    <row r="8" ht="24" customHeight="1">
      <c r="A8" s="54" t="inlineStr">
        <is>
          <t>▶ 1. THU THẬP &amp; TIỀN XỬ LÝ DỮ LIỆU CHUẨN EDGE-IIOTSET (NỘI DUNG 1 - MỤC 4.1)</t>
        </is>
      </c>
      <c r="B8" s="55" t="n"/>
      <c r="C8" s="55" t="n"/>
      <c r="D8" s="55" t="n"/>
      <c r="E8" s="55" t="n"/>
      <c r="F8" s="55" t="n"/>
      <c r="G8" s="55" t="n"/>
      <c r="H8" s="55" t="n"/>
      <c r="I8" s="56" t="n"/>
    </row>
    <row r="9" ht="36" customHeight="1">
      <c r="A9" s="7" t="inlineStr">
        <is>
          <t>1.1</t>
        </is>
      </c>
      <c r="B9" s="8" t="inlineStr">
        <is>
          <t>Chuẩn hóa Schema Dữ liệu</t>
        </is>
      </c>
      <c r="C9" s="9" t="inlineStr">
        <is>
          <t>Thiết lập cấu trúc 61 đặc trưng mạng đầu vào và 15 lớp nhãn tấn công chuẩn Edge-IIoTset</t>
        </is>
      </c>
      <c r="D9" s="9" t="inlineStr">
        <is>
          <t>ml_engine/config/schema.py</t>
        </is>
      </c>
      <c r="E9" s="9" t="inlineStr">
        <is>
          <t>All</t>
        </is>
      </c>
      <c r="F9" s="7" t="n"/>
      <c r="G9" s="11" t="inlineStr">
        <is>
          <t>ĐANG TRIỂN KHAI</t>
        </is>
      </c>
      <c r="H9" s="12" t="n"/>
      <c r="I9" s="9" t="inlineStr">
        <is>
          <t>Đã loại bỏ rò rỉ dữ liệu (IP, time), chuẩn hóa 56 đặc trưng hành vi và 15 nhãn.</t>
        </is>
      </c>
    </row>
    <row r="10" ht="36" customHeight="1">
      <c r="A10" s="7" t="inlineStr">
        <is>
          <t>1.2</t>
        </is>
      </c>
      <c r="B10" s="8" t="inlineStr">
        <is>
          <t>Pipeline Tiền xử lý &amp; Scaler</t>
        </is>
      </c>
      <c r="C10" s="9" t="inlineStr">
        <is>
          <t>Xây dựng bộ tiền xử lý số liệu, mã hóa nhãn OrdinalEncoder và chuẩn hóa StandardScaler</t>
        </is>
      </c>
      <c r="D10" s="9" t="inlineStr">
        <is>
          <t>ml_engine/preprocessing/</t>
        </is>
      </c>
      <c r="E10" s="9" t="inlineStr">
        <is>
          <t>All</t>
        </is>
      </c>
      <c r="F10" s="7" t="n"/>
      <c r="G10" s="11" t="inlineStr">
        <is>
          <t>ĐANG TRIỂN KHAI</t>
        </is>
      </c>
      <c r="H10" s="12" t="n"/>
      <c r="I10" s="9" t="inlineStr">
        <is>
          <t>Đã xuất artifacts preprocessor.joblib và scaler.joblib tương thích suy luận trực tiếp.</t>
        </is>
      </c>
    </row>
    <row r="11" ht="36" customHeight="1">
      <c r="A11" s="7" t="inlineStr">
        <is>
          <t>1.3</t>
        </is>
      </c>
      <c r="B11" s="8" t="inlineStr">
        <is>
          <t>Trích xuất đặc trưng thời gian thực</t>
        </is>
      </c>
      <c r="C11" s="9" t="inlineStr">
        <is>
          <t>Ánh xạ luồng telemetry thực tế (packet_rate, byte_rate, syn_ratio...) sang vector 56 chiều</t>
        </is>
      </c>
      <c r="D11" s="9" t="inlineStr">
        <is>
          <t>ml_engine/preprocessing/feature_preprocessor.py</t>
        </is>
      </c>
      <c r="E11" s="9" t="inlineStr">
        <is>
          <t>All</t>
        </is>
      </c>
      <c r="F11" s="7" t="n"/>
      <c r="G11" s="11" t="inlineStr">
        <is>
          <t>ĐANG TRIỂN KHAI</t>
        </is>
      </c>
      <c r="H11" s="12" t="n"/>
      <c r="I11" s="9" t="inlineStr">
        <is>
          <t>Đã kiểm thử trích xuất và biến đổi trong thời gian &lt; 0.1ms trên máy tính.</t>
        </is>
      </c>
    </row>
    <row r="12" ht="24" customHeight="1">
      <c r="A12" s="54" t="inlineStr">
        <is>
          <t>▶ 2. NGHIÊN CỨU &amp; PHÁT TRIỂN MÔ HÌNH HỌC MÁY 2 TẦNG (DUAL ML PIPELINE - NỘI DUNG 2)</t>
        </is>
      </c>
      <c r="B12" s="55" t="n"/>
      <c r="C12" s="55" t="n"/>
      <c r="D12" s="55" t="n"/>
      <c r="E12" s="55" t="n"/>
      <c r="F12" s="55" t="n"/>
      <c r="G12" s="55" t="n"/>
      <c r="H12" s="55" t="n"/>
      <c r="I12" s="56" t="n"/>
    </row>
    <row r="13" ht="36" customHeight="1">
      <c r="A13" s="7" t="inlineStr">
        <is>
          <t>2.1</t>
        </is>
      </c>
      <c r="B13" s="8" t="inlineStr">
        <is>
          <t>Tier 1: Anomaly Detector (Unsupervised)</t>
        </is>
      </c>
      <c r="C13" s="9" t="inlineStr">
        <is>
          <t>Huấn luyện Isolation Forest trên lưu lượng Normal sạch để bắt các tấn công Zero-day đột biến</t>
        </is>
      </c>
      <c r="D13" s="9" t="inlineStr">
        <is>
          <t>ml_engine/algorithms/anomaly_detectors.py</t>
        </is>
      </c>
      <c r="E13" s="9" t="inlineStr">
        <is>
          <t>Nguyễn Hữu Đức Anh (AI Lead)</t>
        </is>
      </c>
      <c r="F13" s="7" t="n"/>
      <c r="G13" s="11" t="inlineStr">
        <is>
          <t>HOÀN THÀNH</t>
        </is>
      </c>
      <c r="H13" s="12" t="n"/>
      <c r="I13" s="9" t="inlineStr">
        <is>
          <t>Đã kiểm nghiệm dải điểm Isolation score [-0.62 -&gt; -0.37], ngưỡng chuẩn hóa 0.55.</t>
        </is>
      </c>
    </row>
    <row r="14" ht="36" customHeight="1">
      <c r="A14" s="7" t="inlineStr">
        <is>
          <t>2.2</t>
        </is>
      </c>
      <c r="B14" s="8" t="inlineStr">
        <is>
          <t>Mở rộng Anomaly Models</t>
        </is>
      </c>
      <c r="C14" s="9" t="inlineStr">
        <is>
          <t>Tích hợp và đóng gói One-Class SVM, Elliptic Envelope và Local Outlier Factor (LOF)
Nghiên cứu thêm Autoencoder / các phương pháp DL - based</t>
        </is>
      </c>
      <c r="D14" s="9" t="inlineStr">
        <is>
          <t>ml_engine/algorithms/anomaly_detectors.py</t>
        </is>
      </c>
      <c r="E14" s="9" t="inlineStr">
        <is>
          <t>Lê Việt Anh</t>
        </is>
      </c>
      <c r="F14" s="7" t="n"/>
      <c r="G14" s="11" t="inlineStr">
        <is>
          <t>ĐANG TRIỂN KHAI</t>
        </is>
      </c>
      <c r="H14" s="12" t="n"/>
      <c r="I14" s="9" t="inlineStr">
        <is>
          <t>Hỗ trợ thay đổi linh hoạt qua cờ dòng lệnh --anomaly-model trên cả train và runtime.</t>
        </is>
      </c>
    </row>
    <row r="15" ht="36" customHeight="1">
      <c r="A15" s="7" t="inlineStr">
        <is>
          <t>2.3</t>
        </is>
      </c>
      <c r="B15" s="8" t="inlineStr">
        <is>
          <t>Tier 2: Attack Classifiers (15 lớp)</t>
        </is>
      </c>
      <c r="C15" s="9" t="inlineStr">
        <is>
          <t>Xây dựng thư viện mô hình phân loại: Decision Tree, Random Forest, Extra Trees, GBDT, MLP</t>
        </is>
      </c>
      <c r="D15" s="9" t="inlineStr">
        <is>
          <t>ml_engine/algorithms/classifiers.py</t>
        </is>
      </c>
      <c r="E15" s="9" t="inlineStr">
        <is>
          <t>Nguyễn Hữu Đức Anh (AI Lead)</t>
        </is>
      </c>
      <c r="F15" s="7" t="n"/>
      <c r="G15" s="11" t="inlineStr">
        <is>
          <t>HOÀN THÀNH</t>
        </is>
      </c>
      <c r="H15" s="12" t="n"/>
      <c r="I15" s="9" t="inlineStr">
        <is>
          <t>Decision Tree đạt F1 90.62%, Random Forest đạt F1 96.84%, Ensemble Soft-Voting đạt 97.2%.</t>
        </is>
      </c>
    </row>
    <row r="16" ht="36" customHeight="1">
      <c r="A16" s="7" t="n">
        <v>2.4</v>
      </c>
      <c r="B16" s="8" t="inlineStr">
        <is>
          <t>Mở rộng classifiers</t>
        </is>
      </c>
      <c r="C16" s="8" t="inlineStr">
        <is>
          <t>Tham khảo cách cài đặt timeseries, các mô hình MLP/LSTM/GRU/Transformers.</t>
        </is>
      </c>
      <c r="D16" s="9" t="inlineStr">
        <is>
          <t>ml_engine/algorithms/classifiers.py</t>
        </is>
      </c>
      <c r="E16" s="9" t="inlineStr">
        <is>
          <t>Lê Việt Anh</t>
        </is>
      </c>
      <c r="F16" s="7" t="n"/>
      <c r="G16" s="11" t="inlineStr">
        <is>
          <t>ĐANG TRIỂN KHAI</t>
        </is>
      </c>
      <c r="H16" s="12" t="n"/>
      <c r="I16" s="9" t="n"/>
    </row>
    <row r="17" ht="36" customHeight="1">
      <c r="A17" s="7" t="inlineStr">
        <is>
          <t>2.4</t>
        </is>
      </c>
      <c r="B17" s="8" t="inlineStr">
        <is>
          <t>Tối ưu hóa Siêu tham số (Optuna HPO)</t>
        </is>
      </c>
      <c r="C17" s="9" t="inlineStr">
        <is>
          <t>Bayesian Optimization (TPE Sampler) kết hợp 5-Fold Stratified CV, lưu persistent vào SQLite</t>
        </is>
      </c>
      <c r="D17" s="9" t="inlineStr">
        <is>
          <t>ml_engine/tuning/optuna_tuner.py</t>
        </is>
      </c>
      <c r="E17" s="9" t="inlineStr">
        <is>
          <t>Nguyễn Hữu Đức Anh (AI Lead)</t>
        </is>
      </c>
      <c r="F17" s="7" t="n"/>
      <c r="G17" s="11" t="inlineStr">
        <is>
          <t>HOÀN THÀNH</t>
        </is>
      </c>
      <c r="H17" s="12" t="n"/>
      <c r="I17" s="9" t="inlineStr">
        <is>
          <t>Lưu trữ toàn bộ study vào optuna_study.db, hỗ trợ cắt tỉa sớm Median/Hyperband.</t>
        </is>
      </c>
    </row>
    <row r="18" ht="36" customHeight="1">
      <c r="A18" s="7" t="inlineStr">
        <is>
          <t>2.5</t>
        </is>
      </c>
      <c r="B18" s="8" t="inlineStr">
        <is>
          <t>Bộ suy luận thời gian thực (Inference Engine)</t>
        </is>
      </c>
      <c r="C18" s="9" t="inlineStr">
        <is>
          <t>Daemon suy luận 2 tầng, nhận MQTT, phân loại và cảnh báo với độ trễ &lt; 1.5ms</t>
        </is>
      </c>
      <c r="D18" s="9" t="inlineStr">
        <is>
          <t>ml_engine/inference_service.py</t>
        </is>
      </c>
      <c r="E18" s="9" t="inlineStr">
        <is>
          <t>Nguyễn Hữu Đức Anh (AI Lead)</t>
        </is>
      </c>
      <c r="F18" s="7" t="n"/>
      <c r="G18" s="11" t="inlineStr">
        <is>
          <t>HOÀN THÀNH</t>
        </is>
      </c>
      <c r="H18" s="12" t="n"/>
      <c r="I18" s="9" t="inlineStr">
        <is>
          <t>Khởi động độc lập, tự động nạp Artifacts, xuất cảnh báo JSON qua MQTT topic.</t>
        </is>
      </c>
    </row>
    <row r="19" ht="24" customHeight="1">
      <c r="A19" s="54" t="inlineStr">
        <is>
          <t>▶ 3. FIRMWARE BIÊN ESP32 PROMISCUOUS &amp; MÀN HÌNH OLED (NỘI DUNG 3 - MỤC 4.1)</t>
        </is>
      </c>
      <c r="B19" s="55" t="n"/>
      <c r="C19" s="55" t="n"/>
      <c r="D19" s="55" t="n"/>
      <c r="E19" s="55" t="n"/>
      <c r="F19" s="55" t="n"/>
      <c r="G19" s="55" t="n"/>
      <c r="H19" s="55" t="n"/>
      <c r="I19" s="56" t="n"/>
    </row>
    <row r="20" ht="36" customHeight="1">
      <c r="A20" s="7" t="inlineStr">
        <is>
          <t>3.1</t>
        </is>
      </c>
      <c r="B20" s="8" t="inlineStr">
        <is>
          <t>Bắt gói tin Promiscuous 802.11</t>
        </is>
      </c>
      <c r="C20" s="9" t="inlineStr">
        <is>
          <t>Cấu hình phần cứng radio ESP32 bắt toàn bộ khung truyền WiFi over-the-air</t>
        </is>
      </c>
      <c r="D20" s="9" t="inlineStr">
        <is>
          <t>firmware/esp32_probe/esp32_probe.ino</t>
        </is>
      </c>
      <c r="E20" s="9" t="inlineStr">
        <is>
          <t>All</t>
        </is>
      </c>
      <c r="F20" s="7" t="n"/>
      <c r="G20" s="11" t="inlineStr">
        <is>
          <t>ĐANG TRIỂN KHAI</t>
        </is>
      </c>
      <c r="H20" s="12" t="n"/>
      <c r="I20" s="9" t="inlineStr">
        <is>
          <t>Trích xuất thống kê gói tin (packet_rate, byte_rate, syn_ratio, unique_ports) trong cửa sổ 1s.</t>
        </is>
      </c>
    </row>
    <row r="21" ht="36" customHeight="1">
      <c r="A21" s="7" t="inlineStr">
        <is>
          <t>3.2</t>
        </is>
      </c>
      <c r="B21" s="8" t="inlineStr">
        <is>
          <t>Chế độ Sniffing Mọi Mạng (All-Networks)</t>
        </is>
      </c>
      <c r="C21" s="9" t="inlineStr">
        <is>
          <t>Mở khóa radio, thực hiện Fast Channel Hopping liên tục từ kênh 1 đến 13 mỗi 300ms</t>
        </is>
      </c>
      <c r="D21" s="9" t="inlineStr">
        <is>
          <t>firmware/esp32_probe/config.h</t>
        </is>
      </c>
      <c r="E21" s="9" t="inlineStr">
        <is>
          <t>All</t>
        </is>
      </c>
      <c r="F21" s="7" t="n"/>
      <c r="G21" s="11" t="inlineStr">
        <is>
          <t>ĐANG TRIỂN KHAI</t>
        </is>
      </c>
      <c r="H21" s="12" t="n"/>
      <c r="I21" s="9" t="inlineStr">
        <is>
          <t>Thoát ly ràng buộc AP của máy tính, bắt được tất cả các router và thiết bị xung quanh.</t>
        </is>
      </c>
    </row>
    <row r="22" ht="36" customHeight="1">
      <c r="A22" s="7" t="inlineStr">
        <is>
          <t>3.3</t>
        </is>
      </c>
      <c r="B22" s="8" t="inlineStr">
        <is>
          <t>TinyML On-Device C Code</t>
        </is>
      </c>
      <c r="C22" s="9" t="inlineStr">
        <is>
          <t>Xuất cây quyết định sang mã nguồn C thuần (tinyml_model.h) nhúng chạy trực tiếp on-chip ESP32</t>
        </is>
      </c>
      <c r="D22" s="9" t="inlineStr">
        <is>
          <t>ml_engine/exporter/tinyml_exporter.py</t>
        </is>
      </c>
      <c r="E22" s="9" t="inlineStr">
        <is>
          <t>Nguyễn Hữu Đức Anh (AI Lead)</t>
        </is>
      </c>
      <c r="F22" s="7" t="n"/>
      <c r="G22" s="11" t="inlineStr">
        <is>
          <t>HOÀN THÀNH</t>
        </is>
      </c>
      <c r="H22" s="12" t="n"/>
      <c r="I22" s="9" t="inlineStr">
        <is>
          <t>Thời gian suy luận on-chip &lt; 50 micro-giây, RAM tiêu thụ &lt; 25KB, độ chính xác tương đương Python.</t>
        </is>
      </c>
    </row>
    <row r="23" ht="36" customHeight="1">
      <c r="A23" s="7" t="inlineStr">
        <is>
          <t>3.4</t>
        </is>
      </c>
      <c r="B23" s="8" t="inlineStr">
        <is>
          <t>Giao tiếp Hiển thị OLED SSD1306</t>
        </is>
      </c>
      <c r="C23" s="9" t="inlineStr">
        <is>
          <t>Hiển thị kênh, tốc độ gói, trạng thái mạng, mối đe dọa trực quan trên màn hình I2C (128x64 &amp; 128x32)</t>
        </is>
      </c>
      <c r="D23" s="9" t="inlineStr">
        <is>
          <t>firmware/esp32_probe/esp32_probe.ino</t>
        </is>
      </c>
      <c r="E23" s="9" t="inlineStr">
        <is>
          <t>All</t>
        </is>
      </c>
      <c r="F23" s="7" t="n"/>
      <c r="G23" s="11" t="inlineStr">
        <is>
          <t>ĐANG TRIỂN KHAI</t>
        </is>
      </c>
      <c r="H23" s="12" t="n"/>
      <c r="I23" s="9" t="inlineStr">
        <is>
          <t>Tích hợp I2C Scanner, hạ xung 100kHz, Auto-Recovery phục hồi tự động khi cắm lỏng dây.</t>
        </is>
      </c>
    </row>
    <row r="24" ht="36" customHeight="1">
      <c r="A24" s="7" t="inlineStr">
        <is>
          <t>3.5</t>
        </is>
      </c>
      <c r="B24" s="8" t="inlineStr">
        <is>
          <t>Dual-Transport High Availability</t>
        </is>
      </c>
      <c r="C24" s="9" t="inlineStr">
        <is>
          <t>Truyền đồng thời qua Wi-Fi MQTT và cáp USB Serial Bridge (ESP32_TELEMETRY:)</t>
        </is>
      </c>
      <c r="D24" s="9" t="inlineStr">
        <is>
          <t>launcher/workers.py</t>
        </is>
      </c>
      <c r="E24" s="9" t="inlineStr">
        <is>
          <t>Nguyễn Hữu Đức Anh (AI Lead)</t>
        </is>
      </c>
      <c r="F24" s="7" t="n"/>
      <c r="G24" s="11" t="inlineStr">
        <is>
          <t>HOÀN THÀNH</t>
        </is>
      </c>
      <c r="H24" s="12" t="n"/>
      <c r="I24" s="9" t="inlineStr">
        <is>
          <t>Đảm bảo truyền số liệu 100% không gián đoạn kể cả khi Wi-Fi đổi pass hay mất mạng.</t>
        </is>
      </c>
    </row>
    <row r="25" ht="24" customHeight="1">
      <c r="A25" s="54" t="inlineStr">
        <is>
          <t>▶ 4. DATA LAKEHOUSE &amp; TÁI HUẤN LUYỆN HYBRID (QUẢN TRỊ DỮ LIỆU THỰC ĐỊA)</t>
        </is>
      </c>
      <c r="B25" s="55" t="n"/>
      <c r="C25" s="55" t="n"/>
      <c r="D25" s="55" t="n"/>
      <c r="E25" s="55" t="n"/>
      <c r="F25" s="55" t="n"/>
      <c r="G25" s="55" t="n"/>
      <c r="H25" s="55" t="n"/>
      <c r="I25" s="56" t="n"/>
    </row>
    <row r="26" ht="36" customHeight="1">
      <c r="A26" s="7" t="inlineStr">
        <is>
          <t>4.1</t>
        </is>
      </c>
      <c r="B26" s="8" t="inlineStr">
        <is>
          <t>Data Lakehouse Columnar Engine</t>
        </is>
      </c>
      <c r="C26" s="9" t="inlineStr">
        <is>
          <t>Lưu trữ telemetry liên tục dạng Apache Parquet nén Snappy, phân vùng theo ngày (date=YYYY-MM-DD)</t>
        </is>
      </c>
      <c r="D26" s="9" t="inlineStr">
        <is>
          <t>data_lake/lakehouse.py</t>
        </is>
      </c>
      <c r="E26" s="9" t="inlineStr">
        <is>
          <t>Lê Việt Anh, Nguyễn Hữu Đức Anh (AI Lead)</t>
        </is>
      </c>
      <c r="F26" s="7" t="n"/>
      <c r="G26" s="11" t="inlineStr">
        <is>
          <t>ĐANG TRIỂN KHAI</t>
        </is>
      </c>
      <c r="H26" s="12" t="n"/>
      <c r="I26" s="9" t="inlineStr">
        <is>
          <t>Đã kiểm thử ghi đệm và chốt tệp tự động, truy vấn tốc độ cao với pyarrow và SQLite Catalog.</t>
        </is>
      </c>
    </row>
    <row r="27" ht="36" customHeight="1">
      <c r="A27" s="7" t="inlineStr">
        <is>
          <t>4.2</t>
        </is>
      </c>
      <c r="B27" s="8" t="inlineStr">
        <is>
          <t>Data Lake Collector Daemon</t>
        </is>
      </c>
      <c r="C27" s="9" t="inlineStr">
        <is>
          <t>Lắng nghe telemetry, attack scenario và model prediction từ MQTT để lưu trữ liên tục</t>
        </is>
      </c>
      <c r="D27" s="9" t="inlineStr">
        <is>
          <t>data_lake/collector.py</t>
        </is>
      </c>
      <c r="E27" s="9" t="inlineStr">
        <is>
          <t>Lê Việt Anh, Nguyễn Hữu Đức Anh (AI Lead)</t>
        </is>
      </c>
      <c r="F27" s="7" t="n"/>
      <c r="G27" s="11" t="inlineStr">
        <is>
          <t>ĐANG TRIỂN KHAI</t>
        </is>
      </c>
      <c r="H27" s="12" t="n"/>
      <c r="I27" s="9" t="inlineStr">
        <is>
          <t>Tự động tích hợp vào vòng đời run_system.py, hỗ trợ cờ --record-lake và chốt tệp khi Ctrl+C.</t>
        </is>
      </c>
    </row>
    <row r="28" ht="36" customHeight="1">
      <c r="A28" s="7" t="inlineStr">
        <is>
          <t>4.3</t>
        </is>
      </c>
      <c r="B28" s="8" t="inlineStr">
        <is>
          <t>Quy trình Tái huấn luyện Hybrid</t>
        </is>
      </c>
      <c r="C28" s="9" t="inlineStr">
        <is>
          <t>Tích hợp dữ liệu Normal thực tế từ Data Lakehouse vào quy trình huấn luyện Isolation Forest</t>
        </is>
      </c>
      <c r="D28" s="9" t="inlineStr">
        <is>
          <t>ml_engine/train.py</t>
        </is>
      </c>
      <c r="E28" s="9" t="inlineStr">
        <is>
          <t>Nguyễn Hữu Đức Anh (AI Lead), Lê Việt Anh</t>
        </is>
      </c>
      <c r="F28" s="7" t="n"/>
      <c r="G28" s="11" t="inlineStr">
        <is>
          <t>ĐANG TRIỂN KHAI</t>
        </is>
      </c>
      <c r="H28" s="12" t="n"/>
      <c r="I28" s="9" t="inlineStr">
        <is>
          <t>Đã kiểm thử cờ --data-source hybrid: khử triệt để False Positives do lệch phân phối môi trường.</t>
        </is>
      </c>
    </row>
    <row r="29" ht="24" customHeight="1">
      <c r="A29" s="54" t="inlineStr">
        <is>
          <t>▶ 5. SOC WEB DASHBOARD &amp; TRUNG TÂM GIÁM SÁT THỜI GIAN THỰC (FASTAPI + ES MODULES)</t>
        </is>
      </c>
      <c r="B29" s="55" t="n"/>
      <c r="C29" s="55" t="n"/>
      <c r="D29" s="55" t="n"/>
      <c r="E29" s="55" t="n"/>
      <c r="F29" s="55" t="n"/>
      <c r="G29" s="55" t="n"/>
      <c r="H29" s="55" t="n"/>
      <c r="I29" s="56" t="n"/>
    </row>
    <row r="30" ht="36" customHeight="1">
      <c r="A30" s="7" t="inlineStr">
        <is>
          <t>5.1</t>
        </is>
      </c>
      <c r="B30" s="8" t="inlineStr">
        <is>
          <t>Backend Modular FastAPI &amp; WebSocket</t>
        </is>
      </c>
      <c r="C30" s="9" t="inlineStr">
        <is>
          <t>Kiến trúc API Router, WebSocket Broadcast và MQTT Client Bridge</t>
        </is>
      </c>
      <c r="D30" s="9" t="inlineStr">
        <is>
          <t>dashboard/backend/</t>
        </is>
      </c>
      <c r="E30" s="9" t="inlineStr">
        <is>
          <t>Nguyễn Hữu Đức Anh (AI Lead)</t>
        </is>
      </c>
      <c r="F30" s="7" t="n"/>
      <c r="G30" s="11" t="inlineStr">
        <is>
          <t>HOÀN THÀNH</t>
        </is>
      </c>
      <c r="H30" s="12" t="n"/>
      <c r="I30" s="9" t="inlineStr">
        <is>
          <t>Tách module routers/api.py, ws.py, state.py, hỗ trợ API Data Lake summary &amp; sessions.</t>
        </is>
      </c>
    </row>
    <row r="31" ht="36" customHeight="1">
      <c r="A31" s="7" t="inlineStr">
        <is>
          <t>5.2</t>
        </is>
      </c>
      <c r="B31" s="8" t="inlineStr">
        <is>
          <t>Frontend Glassmorphism Component-based</t>
        </is>
      </c>
      <c r="C31" s="9" t="inlineStr">
        <is>
          <t>Giao diện Dark Mode Cyberpunk, biểu đồ Chart.js live, đồng hồ Gauge đo nguy cơ</t>
        </is>
      </c>
      <c r="D31" s="9" t="inlineStr">
        <is>
          <t>dashboard/frontend/</t>
        </is>
      </c>
      <c r="E31" s="9" t="inlineStr">
        <is>
          <t>Nguyễn Hữu Đức Anh (AI Lead), Lê Việt Anh</t>
        </is>
      </c>
      <c r="F31" s="7" t="n"/>
      <c r="G31" s="11" t="inlineStr">
        <is>
          <t>HOÀN THÀNH</t>
        </is>
      </c>
      <c r="H31" s="12" t="n"/>
      <c r="I31" s="9" t="inlineStr">
        <is>
          <t>Cấu trúc Native ES Modules (state.js, components, services), hiển thị huy hiệu Data Lake.</t>
        </is>
      </c>
    </row>
    <row r="32" ht="36" customHeight="1">
      <c r="A32" s="7" t="inlineStr">
        <is>
          <t>5.3</t>
        </is>
      </c>
      <c r="B32" s="8" t="inlineStr">
        <is>
          <t>Control Bar Bắn Gói Tin Mạng Thật</t>
        </is>
      </c>
      <c r="C32" s="9" t="inlineStr">
        <is>
          <t>Bộ phát động tấn công raw socket (Port Scan, UDP Flood, SYN Flood, Exfil) điều khiển từ Dashboard</t>
        </is>
      </c>
      <c r="D32" s="9" t="inlineStr">
        <is>
          <t>firmware/simulator/attack_traffic_generator.py</t>
        </is>
      </c>
      <c r="E32" s="9" t="inlineStr">
        <is>
          <t>Nguyễn Hữu Đức Anh (AI Lead)</t>
        </is>
      </c>
      <c r="F32" s="7" t="n"/>
      <c r="G32" s="11" t="inlineStr">
        <is>
          <t>HOÀN THÀNH</t>
        </is>
      </c>
      <c r="H32" s="12" t="n"/>
      <c r="I32" s="9" t="inlineStr">
        <is>
          <t>Socket mạng thật 100% bắn tới IP Gateway/Target, thiết bị biên bắt được và phân loại tức thời.</t>
        </is>
      </c>
    </row>
    <row r="33" ht="24" customHeight="1">
      <c r="A33" s="54" t="inlineStr">
        <is>
          <t>▶ 6. KHẢ NĂNG TƯƠNG THÍCH ĐA NỀN TẢNG &amp; TỰ ĐỘNG HÓA LAUNCHER</t>
        </is>
      </c>
      <c r="B33" s="55" t="n"/>
      <c r="C33" s="55" t="n"/>
      <c r="D33" s="55" t="n"/>
      <c r="E33" s="55" t="n"/>
      <c r="F33" s="55" t="n"/>
      <c r="G33" s="55" t="n"/>
      <c r="H33" s="55" t="n"/>
      <c r="I33" s="56" t="n"/>
    </row>
    <row r="34" ht="36" customHeight="1">
      <c r="A34" s="7" t="inlineStr">
        <is>
          <t>6.1</t>
        </is>
      </c>
      <c r="B34" s="8" t="inlineStr">
        <is>
          <t>Khử Hardcode &amp; Hỗ trợ Cross-Platform</t>
        </is>
      </c>
      <c r="C34" s="9" t="inlineStr">
        <is>
          <t>Tự động tìm kiếm đường dẫn arduino-cli, cổng COM, IP LAN trên Windows, Linux, macOS</t>
        </is>
      </c>
      <c r="D34" s="9" t="inlineStr">
        <is>
          <t>launcher/flasher.py, network.py</t>
        </is>
      </c>
      <c r="E34" s="9" t="inlineStr">
        <is>
          <t>Nguyễn Hữu Đức Anh (AI Lead)</t>
        </is>
      </c>
      <c r="F34" s="7" t="n"/>
      <c r="G34" s="11" t="inlineStr">
        <is>
          <t>HOÀN THÀNH</t>
        </is>
      </c>
      <c r="H34" s="12" t="n"/>
      <c r="I34" s="9" t="inlineStr">
        <is>
          <t>Đã kiểm thử trên Windows PowerShell, Linux bash và macOS. Bổ sung script run_system.sh.</t>
        </is>
      </c>
    </row>
    <row r="35" ht="36" customHeight="1">
      <c r="A35" s="7" t="inlineStr">
        <is>
          <t>6.2</t>
        </is>
      </c>
      <c r="B35" s="8" t="inlineStr">
        <is>
          <t>Tự động biên dịch &amp; nạp code CLI (--flash)</t>
        </is>
      </c>
      <c r="C35" s="9" t="inlineStr">
        <is>
          <t>Tích hợp nạp firmware 1-click qua arduino-cli không cần mở Arduino IDE GUI</t>
        </is>
      </c>
      <c r="D35" s="9" t="inlineStr">
        <is>
          <t>launcher/flasher.py</t>
        </is>
      </c>
      <c r="E35" s="9" t="inlineStr">
        <is>
          <t>Nguyễn Hữu Đức Anh (AI Lead)</t>
        </is>
      </c>
      <c r="F35" s="7" t="n"/>
      <c r="G35" s="11" t="inlineStr">
        <is>
          <t>HOÀN THÀNH</t>
        </is>
      </c>
      <c r="H35" s="12" t="n"/>
      <c r="I35" s="9" t="inlineStr">
        <is>
          <t>Biên dịch và nạp code thành công, tự động nhận diện chip ESP32 qua CP210x/CH340.</t>
        </is>
      </c>
    </row>
    <row r="36" ht="36" customHeight="1">
      <c r="A36" s="7" t="inlineStr">
        <is>
          <t>6.3</t>
        </is>
      </c>
      <c r="B36" s="8" t="inlineStr">
        <is>
          <t>Zero-Config Wi-Fi Roaming &amp; UDP Beacon</t>
        </is>
      </c>
      <c r="C36" s="9" t="inlineStr">
        <is>
          <t>Tự động lấy ngầm SSID/Password máy tính đang bắt và phát UDP beacon định vị IP Broker</t>
        </is>
      </c>
      <c r="D36" s="9" t="inlineStr">
        <is>
          <t>launcher/workers.py, network.py</t>
        </is>
      </c>
      <c r="E36" s="9" t="inlineStr">
        <is>
          <t>Nguyễn Hữu Đức Anh (AI Lead)</t>
        </is>
      </c>
      <c r="F36" s="7" t="n"/>
      <c r="G36" s="11" t="inlineStr">
        <is>
          <t>HOÀN THÀNH</t>
        </is>
      </c>
      <c r="H36" s="12" t="n"/>
      <c r="I36" s="9" t="inlineStr">
        <is>
          <t>ESP32 tự cập nhật IP máy tính khi chuyển đổi mạng Wi-Fi mà không cần nạp lại code.</t>
        </is>
      </c>
    </row>
    <row r="37" ht="24" customHeight="1">
      <c r="A37" s="54" t="inlineStr">
        <is>
          <t>▶ 7. THỬ NGHIỆM THỰC ĐỊA, THIẾT KẾ PHẦN CỨNG &amp; HOÀN THIỆN SẢN PHẨM (MỤC 4.2 - 4.3)</t>
        </is>
      </c>
      <c r="B37" s="55" t="n"/>
      <c r="C37" s="55" t="n"/>
      <c r="D37" s="55" t="n"/>
      <c r="E37" s="55" t="n"/>
      <c r="F37" s="55" t="n"/>
      <c r="G37" s="55" t="n"/>
      <c r="H37" s="55" t="n"/>
      <c r="I37" s="56" t="n"/>
    </row>
    <row r="38" ht="36" customHeight="1">
      <c r="A38" s="7" t="inlineStr">
        <is>
          <t>7.1</t>
        </is>
      </c>
      <c r="B38" s="8" t="inlineStr">
        <is>
          <t>Thử nghiệm Thí điểm Thực địa (Giai đoạn 3 R&amp;D)</t>
        </is>
      </c>
      <c r="C38" s="9" t="inlineStr">
        <is>
          <t>Triển khai hệ thống tại 1-2 điểm thực tế (Phòng Lab / Khoa / Đơn vị đối tác tại ĐHBK Hà Nội)</t>
        </is>
      </c>
      <c r="D38" s="9" t="inlineStr">
        <is>
          <t>Hệ thống AERO hoàn chỉnh</t>
        </is>
      </c>
      <c r="E38" s="9" t="inlineStr">
        <is>
          <t>All</t>
        </is>
      </c>
      <c r="F38" s="7" t="n"/>
      <c r="G38" s="17" t="inlineStr">
        <is>
          <t>KẾ HOẠCH TIẾP</t>
        </is>
      </c>
      <c r="H38" s="12" t="n"/>
      <c r="I38" s="9" t="inlineStr">
        <is>
          <t>Kế hoạch Q3/2026: Lắp đặt 2 box giám sát liên tục 4-6 tuần, ghi nhận 50,000+ mẫu lưu lượng thực tế.</t>
        </is>
      </c>
    </row>
    <row r="39" ht="36" customHeight="1">
      <c r="A39" s="7" t="inlineStr">
        <is>
          <t>7.2</t>
        </is>
      </c>
      <c r="B39" s="8" t="inlineStr">
        <is>
          <t>Thiết kế Vỏ Hộp Công Nghiệp &amp; Mạch PCB</t>
        </is>
      </c>
      <c r="C39" s="9" t="inlineStr">
        <is>
          <t>Thiết kế vỏ hộp in 3D/CNC tản nhiệt, thu gọn linh kiện thành bo mạch PCB tích hợp hoàn chỉnh</t>
        </is>
      </c>
      <c r="D39" s="9" t="inlineStr">
        <is>
          <t>firmware/hardware_design/</t>
        </is>
      </c>
      <c r="E39" s="9" t="inlineStr">
        <is>
          <t>All</t>
        </is>
      </c>
      <c r="F39" s="7" t="n"/>
      <c r="G39" s="16" t="inlineStr">
        <is>
          <t>KẾ HOẠCH TIẾP</t>
        </is>
      </c>
      <c r="H39" s="12" t="n"/>
      <c r="I39" s="9" t="inlineStr">
        <is>
          <t>Kế hoạch Q4/2026: Hoàn thiện bản vẽ CAD vỏ hộp có khe cắm ăng-ten ngoài và màn hình hiển thị.</t>
        </is>
      </c>
    </row>
    <row r="40" ht="36" customHeight="1">
      <c r="A40" s="7" t="inlineStr">
        <is>
          <t>7.3</t>
        </is>
      </c>
      <c r="B40" s="8" t="inlineStr">
        <is>
          <t>Kiểm định Ổn định &amp; Bảo mật Hệ thống (Giai đoạn 5)</t>
        </is>
      </c>
      <c r="C40" s="9" t="inlineStr">
        <is>
          <t>Đánh giá an toàn kênh truyền MQTT (TLS), mã hóa lưu trữ Data Lake và độ bền nhiệt thiết bị biên</t>
        </is>
      </c>
      <c r="D40" s="9" t="inlineStr">
        <is>
          <t>Bảo mật &amp; Kiểm thử</t>
        </is>
      </c>
      <c r="E40" s="9" t="inlineStr">
        <is>
          <t>All</t>
        </is>
      </c>
      <c r="F40" s="7" t="n"/>
      <c r="G40" s="16" t="inlineStr">
        <is>
          <t>KẾ HOẠCH TIẾP</t>
        </is>
      </c>
      <c r="H40" s="12" t="n"/>
      <c r="I40" s="9" t="inlineStr">
        <is>
          <t>Kế hoạch Q1/2027: Stress test nhiệt độ hoạt động 24/7, kích hoạt TLS MQTT Certificate Authentication.</t>
        </is>
      </c>
    </row>
    <row r="41" ht="36" customHeight="1">
      <c r="A41" s="7" t="inlineStr">
        <is>
          <t>7.4</t>
        </is>
      </c>
      <c r="B41" s="8" t="inlineStr">
        <is>
          <t>Đăng ký Sở hữu Trí tuệ / Bản quyền Tác giả</t>
        </is>
      </c>
      <c r="C41" s="9" t="inlineStr">
        <is>
          <t>Đăng ký bản quyền phần mềm AERO Core Engine và giải pháp hữu ích thiết bị phát hiện xâm nhập biên</t>
        </is>
      </c>
      <c r="D41" s="9" t="inlineStr">
        <is>
          <t>Hồ sơ Pháp lý &amp; SHTT</t>
        </is>
      </c>
      <c r="E41" s="9" t="inlineStr">
        <is>
          <t>All</t>
        </is>
      </c>
      <c r="F41" s="7" t="n"/>
      <c r="G41" s="17" t="inlineStr">
        <is>
          <t>KẾ HOẠCH TIẾP</t>
        </is>
      </c>
      <c r="H41" s="12" t="n"/>
      <c r="I41" s="9" t="inlineStr">
        <is>
          <t>Kế hoạch Q4/2026: Soạn thảo bản mô tả sáng chế/giải pháp hữu ích nộp Cục Sở hữu Trí tuệ.</t>
        </is>
      </c>
    </row>
    <row r="42" ht="15.75" customHeight="1">
      <c r="E42" s="1" t="n"/>
      <c r="G42" s="2" t="n"/>
    </row>
    <row r="43" ht="15.75" customHeight="1">
      <c r="E43" s="1" t="n"/>
      <c r="G43" s="2" t="n"/>
    </row>
    <row r="44" ht="15.75" customHeight="1">
      <c r="E44" s="1" t="n"/>
      <c r="G44" s="2" t="n"/>
    </row>
    <row r="45" ht="15.75" customHeight="1">
      <c r="E45" s="1" t="n"/>
      <c r="G45" s="2" t="n"/>
    </row>
    <row r="46" ht="15.75" customHeight="1">
      <c r="E46" s="1" t="n"/>
      <c r="G46" s="2" t="n"/>
    </row>
    <row r="47" ht="15.75" customHeight="1">
      <c r="E47" s="1" t="n"/>
      <c r="G47" s="2" t="n"/>
    </row>
    <row r="48" ht="15.75" customHeight="1">
      <c r="E48" s="1" t="n"/>
      <c r="G48" s="2" t="n"/>
    </row>
    <row r="49" ht="15.75" customHeight="1">
      <c r="E49" s="1" t="n"/>
      <c r="G49" s="2" t="n"/>
    </row>
    <row r="50" ht="15.75" customHeight="1">
      <c r="E50" s="1" t="n"/>
      <c r="G50" s="2" t="n"/>
    </row>
    <row r="51" ht="15.75" customHeight="1">
      <c r="E51" s="1" t="n"/>
      <c r="G51" s="2" t="n"/>
    </row>
    <row r="52" ht="15.75" customHeight="1">
      <c r="E52" s="1" t="n"/>
      <c r="G52" s="2" t="n"/>
    </row>
    <row r="53" ht="15.75" customHeight="1">
      <c r="E53" s="1" t="n"/>
      <c r="G53" s="2" t="n"/>
    </row>
    <row r="54" ht="15.75" customHeight="1">
      <c r="E54" s="1" t="n"/>
      <c r="G54" s="2" t="n"/>
    </row>
    <row r="55" ht="15.75" customHeight="1">
      <c r="E55" s="1" t="n"/>
      <c r="G55" s="2" t="n"/>
    </row>
    <row r="56" ht="15.75" customHeight="1">
      <c r="E56" s="1" t="n"/>
      <c r="G56" s="2" t="n"/>
    </row>
    <row r="57" ht="15.75" customHeight="1">
      <c r="E57" s="1" t="n"/>
      <c r="G57" s="2" t="n"/>
    </row>
    <row r="58" ht="15.75" customHeight="1">
      <c r="E58" s="1" t="n"/>
      <c r="G58" s="2" t="n"/>
    </row>
    <row r="59" ht="15.75" customHeight="1">
      <c r="E59" s="1" t="n"/>
      <c r="G59" s="2" t="n"/>
    </row>
    <row r="60" ht="15.75" customHeight="1">
      <c r="E60" s="1" t="n"/>
      <c r="G60" s="2" t="n"/>
    </row>
    <row r="61" ht="15.75" customHeight="1">
      <c r="E61" s="1" t="n"/>
      <c r="G61" s="2" t="n"/>
    </row>
    <row r="62" ht="15.75" customHeight="1">
      <c r="E62" s="1" t="n"/>
      <c r="G62" s="2" t="n"/>
    </row>
    <row r="63" ht="15.75" customHeight="1">
      <c r="E63" s="1" t="n"/>
      <c r="G63" s="2" t="n"/>
    </row>
    <row r="64" ht="15.75" customHeight="1">
      <c r="E64" s="1" t="n"/>
      <c r="G64" s="2" t="n"/>
    </row>
    <row r="65" ht="15.75" customHeight="1">
      <c r="E65" s="1" t="n"/>
      <c r="G65" s="2" t="n"/>
    </row>
    <row r="66" ht="15.75" customHeight="1">
      <c r="E66" s="1" t="n"/>
      <c r="G66" s="2" t="n"/>
    </row>
    <row r="67" ht="15.75" customHeight="1">
      <c r="E67" s="1" t="n"/>
      <c r="G67" s="2" t="n"/>
    </row>
    <row r="68" ht="15.75" customHeight="1">
      <c r="E68" s="1" t="n"/>
      <c r="G68" s="2" t="n"/>
    </row>
    <row r="69" ht="15.75" customHeight="1">
      <c r="E69" s="1" t="n"/>
      <c r="G69" s="2" t="n"/>
    </row>
    <row r="70" ht="15.75" customHeight="1">
      <c r="E70" s="1" t="n"/>
      <c r="G70" s="2" t="n"/>
    </row>
    <row r="71" ht="15.75" customHeight="1">
      <c r="E71" s="1" t="n"/>
      <c r="G71" s="2" t="n"/>
    </row>
    <row r="72" ht="15.75" customHeight="1">
      <c r="E72" s="1" t="n"/>
      <c r="G72" s="2" t="n"/>
    </row>
    <row r="73" ht="15.75" customHeight="1">
      <c r="E73" s="1" t="n"/>
      <c r="G73" s="2" t="n"/>
    </row>
    <row r="74" ht="15.75" customHeight="1">
      <c r="E74" s="1" t="n"/>
      <c r="G74" s="2" t="n"/>
    </row>
    <row r="75" ht="15.75" customHeight="1">
      <c r="E75" s="1" t="n"/>
      <c r="G75" s="2" t="n"/>
    </row>
    <row r="76" ht="15.75" customHeight="1">
      <c r="E76" s="1" t="n"/>
      <c r="G76" s="2" t="n"/>
    </row>
    <row r="77" ht="15.75" customHeight="1">
      <c r="E77" s="1" t="n"/>
      <c r="G77" s="2" t="n"/>
    </row>
    <row r="78" ht="15.75" customHeight="1">
      <c r="E78" s="1" t="n"/>
      <c r="G78" s="2" t="n"/>
    </row>
    <row r="79" ht="15.75" customHeight="1">
      <c r="E79" s="1" t="n"/>
      <c r="G79" s="2" t="n"/>
    </row>
    <row r="80" ht="15.75" customHeight="1">
      <c r="E80" s="1" t="n"/>
      <c r="G80" s="2" t="n"/>
    </row>
    <row r="81" ht="15.75" customHeight="1">
      <c r="E81" s="1" t="n"/>
      <c r="G81" s="2" t="n"/>
    </row>
    <row r="82" ht="15.75" customHeight="1">
      <c r="E82" s="1" t="n"/>
      <c r="G82" s="2" t="n"/>
    </row>
    <row r="83" ht="15.75" customHeight="1">
      <c r="E83" s="1" t="n"/>
      <c r="G83" s="2" t="n"/>
    </row>
    <row r="84" ht="15.75" customHeight="1">
      <c r="E84" s="1" t="n"/>
      <c r="G84" s="2" t="n"/>
    </row>
    <row r="85" ht="15.75" customHeight="1">
      <c r="E85" s="1" t="n"/>
      <c r="G85" s="2" t="n"/>
    </row>
    <row r="86" ht="15.75" customHeight="1">
      <c r="E86" s="1" t="n"/>
      <c r="G86" s="2" t="n"/>
    </row>
    <row r="87" ht="15.75" customHeight="1">
      <c r="E87" s="1" t="n"/>
      <c r="G87" s="2" t="n"/>
    </row>
    <row r="88" ht="15.75" customHeight="1">
      <c r="E88" s="1" t="n"/>
      <c r="G88" s="2" t="n"/>
    </row>
    <row r="89" ht="15.75" customHeight="1">
      <c r="E89" s="1" t="n"/>
      <c r="G89" s="2" t="n"/>
    </row>
    <row r="90" ht="15.75" customHeight="1">
      <c r="E90" s="1" t="n"/>
      <c r="G90" s="2" t="n"/>
    </row>
    <row r="91" ht="15.75" customHeight="1">
      <c r="E91" s="1" t="n"/>
      <c r="G91" s="2" t="n"/>
    </row>
    <row r="92" ht="15.75" customHeight="1">
      <c r="E92" s="1" t="n"/>
      <c r="G92" s="2" t="n"/>
    </row>
    <row r="93" ht="15.75" customHeight="1">
      <c r="E93" s="1" t="n"/>
      <c r="G93" s="2" t="n"/>
    </row>
    <row r="94" ht="15.75" customHeight="1">
      <c r="E94" s="1" t="n"/>
      <c r="G94" s="2" t="n"/>
    </row>
    <row r="95" ht="15.75" customHeight="1">
      <c r="E95" s="1" t="n"/>
      <c r="G95" s="2" t="n"/>
    </row>
    <row r="96" ht="15.75" customHeight="1">
      <c r="E96" s="1" t="n"/>
      <c r="G96" s="2" t="n"/>
    </row>
    <row r="97" ht="15.75" customHeight="1">
      <c r="E97" s="1" t="n"/>
      <c r="G97" s="2" t="n"/>
    </row>
    <row r="98" ht="15.75" customHeight="1">
      <c r="E98" s="1" t="n"/>
      <c r="G98" s="2" t="n"/>
    </row>
    <row r="99" ht="15.75" customHeight="1">
      <c r="E99" s="1" t="n"/>
      <c r="G99" s="2" t="n"/>
    </row>
    <row r="100" ht="15.75" customHeight="1">
      <c r="E100" s="1" t="n"/>
      <c r="G100" s="2" t="n"/>
    </row>
    <row r="101" ht="15.75" customHeight="1">
      <c r="E101" s="1" t="n"/>
      <c r="G101" s="2" t="n"/>
    </row>
    <row r="102" ht="15.75" customHeight="1">
      <c r="E102" s="1" t="n"/>
      <c r="G102" s="2" t="n"/>
    </row>
    <row r="103" ht="15.75" customHeight="1">
      <c r="E103" s="1" t="n"/>
      <c r="G103" s="2" t="n"/>
    </row>
    <row r="104" ht="15.75" customHeight="1">
      <c r="E104" s="1" t="n"/>
      <c r="G104" s="2" t="n"/>
    </row>
    <row r="105" ht="15.75" customHeight="1">
      <c r="E105" s="1" t="n"/>
      <c r="G105" s="2" t="n"/>
    </row>
    <row r="106" ht="15.75" customHeight="1">
      <c r="E106" s="1" t="n"/>
      <c r="G106" s="2" t="n"/>
    </row>
    <row r="107" ht="15.75" customHeight="1">
      <c r="E107" s="1" t="n"/>
      <c r="G107" s="2" t="n"/>
    </row>
    <row r="108" ht="15.75" customHeight="1">
      <c r="E108" s="1" t="n"/>
      <c r="G108" s="2" t="n"/>
    </row>
    <row r="109" ht="15.75" customHeight="1">
      <c r="E109" s="1" t="n"/>
      <c r="G109" s="2" t="n"/>
    </row>
    <row r="110" ht="15.75" customHeight="1">
      <c r="E110" s="1" t="n"/>
      <c r="G110" s="2" t="n"/>
    </row>
    <row r="111" ht="15.75" customHeight="1">
      <c r="E111" s="1" t="n"/>
      <c r="G111" s="2" t="n"/>
    </row>
    <row r="112" ht="15.75" customHeight="1">
      <c r="E112" s="1" t="n"/>
      <c r="G112" s="2" t="n"/>
    </row>
    <row r="113" ht="15.75" customHeight="1">
      <c r="E113" s="1" t="n"/>
      <c r="G113" s="2" t="n"/>
    </row>
    <row r="114" ht="15.75" customHeight="1">
      <c r="E114" s="1" t="n"/>
      <c r="G114" s="2" t="n"/>
    </row>
    <row r="115" ht="15.75" customHeight="1">
      <c r="E115" s="1" t="n"/>
      <c r="G115" s="2" t="n"/>
    </row>
    <row r="116" ht="15.75" customHeight="1">
      <c r="E116" s="1" t="n"/>
      <c r="G116" s="2" t="n"/>
    </row>
    <row r="117" ht="15.75" customHeight="1">
      <c r="E117" s="1" t="n"/>
      <c r="G117" s="2" t="n"/>
    </row>
    <row r="118" ht="15.75" customHeight="1">
      <c r="E118" s="1" t="n"/>
      <c r="G118" s="2" t="n"/>
    </row>
    <row r="119" ht="15.75" customHeight="1">
      <c r="E119" s="1" t="n"/>
      <c r="G119" s="2" t="n"/>
    </row>
    <row r="120" ht="15.75" customHeight="1">
      <c r="E120" s="1" t="n"/>
      <c r="G120" s="2" t="n"/>
    </row>
    <row r="121" ht="15.75" customHeight="1">
      <c r="E121" s="1" t="n"/>
      <c r="G121" s="2" t="n"/>
    </row>
    <row r="122" ht="15.75" customHeight="1">
      <c r="E122" s="1" t="n"/>
      <c r="G122" s="2" t="n"/>
    </row>
    <row r="123" ht="15.75" customHeight="1">
      <c r="E123" s="1" t="n"/>
      <c r="G123" s="2" t="n"/>
    </row>
    <row r="124" ht="15.75" customHeight="1">
      <c r="E124" s="1" t="n"/>
      <c r="G124" s="2" t="n"/>
    </row>
    <row r="125" ht="15.75" customHeight="1">
      <c r="E125" s="1" t="n"/>
      <c r="G125" s="2" t="n"/>
    </row>
    <row r="126" ht="15.75" customHeight="1">
      <c r="E126" s="1" t="n"/>
      <c r="G126" s="2" t="n"/>
    </row>
    <row r="127" ht="15.75" customHeight="1">
      <c r="E127" s="1" t="n"/>
      <c r="G127" s="2" t="n"/>
    </row>
    <row r="128" ht="15.75" customHeight="1">
      <c r="E128" s="1" t="n"/>
      <c r="G128" s="2" t="n"/>
    </row>
    <row r="129" ht="15.75" customHeight="1">
      <c r="E129" s="1" t="n"/>
      <c r="G129" s="2" t="n"/>
    </row>
    <row r="130" ht="15.75" customHeight="1">
      <c r="E130" s="1" t="n"/>
      <c r="G130" s="2" t="n"/>
    </row>
    <row r="131" ht="15.75" customHeight="1">
      <c r="E131" s="1" t="n"/>
      <c r="G131" s="2" t="n"/>
    </row>
    <row r="132" ht="15.75" customHeight="1">
      <c r="E132" s="1" t="n"/>
      <c r="G132" s="2" t="n"/>
    </row>
    <row r="133" ht="15.75" customHeight="1">
      <c r="E133" s="1" t="n"/>
      <c r="G133" s="2" t="n"/>
    </row>
    <row r="134" ht="15.75" customHeight="1">
      <c r="E134" s="1" t="n"/>
      <c r="G134" s="2" t="n"/>
    </row>
    <row r="135" ht="15.75" customHeight="1">
      <c r="E135" s="1" t="n"/>
      <c r="G135" s="2" t="n"/>
    </row>
    <row r="136" ht="15.75" customHeight="1">
      <c r="E136" s="1" t="n"/>
      <c r="G136" s="2" t="n"/>
    </row>
    <row r="137" ht="15.75" customHeight="1">
      <c r="E137" s="1" t="n"/>
      <c r="G137" s="2" t="n"/>
    </row>
    <row r="138" ht="15.75" customHeight="1">
      <c r="E138" s="1" t="n"/>
      <c r="G138" s="2" t="n"/>
    </row>
    <row r="139" ht="15.75" customHeight="1">
      <c r="E139" s="1" t="n"/>
      <c r="G139" s="2" t="n"/>
    </row>
    <row r="140" ht="15.75" customHeight="1">
      <c r="E140" s="1" t="n"/>
      <c r="G140" s="2" t="n"/>
    </row>
    <row r="141" ht="15.75" customHeight="1">
      <c r="E141" s="1" t="n"/>
      <c r="G141" s="2" t="n"/>
    </row>
    <row r="142" ht="15.75" customHeight="1">
      <c r="E142" s="1" t="n"/>
      <c r="G142" s="2" t="n"/>
    </row>
    <row r="143" ht="15.75" customHeight="1">
      <c r="E143" s="1" t="n"/>
      <c r="G143" s="2" t="n"/>
    </row>
    <row r="144" ht="15.75" customHeight="1">
      <c r="E144" s="1" t="n"/>
      <c r="G144" s="2" t="n"/>
    </row>
    <row r="145" ht="15.75" customHeight="1">
      <c r="E145" s="1" t="n"/>
      <c r="G145" s="2" t="n"/>
    </row>
    <row r="146" ht="15.75" customHeight="1">
      <c r="E146" s="1" t="n"/>
      <c r="G146" s="2" t="n"/>
    </row>
    <row r="147" ht="15.75" customHeight="1">
      <c r="E147" s="1" t="n"/>
      <c r="G147" s="2" t="n"/>
    </row>
    <row r="148" ht="15.75" customHeight="1">
      <c r="E148" s="1" t="n"/>
      <c r="G148" s="2" t="n"/>
    </row>
    <row r="149" ht="15.75" customHeight="1">
      <c r="E149" s="1" t="n"/>
      <c r="G149" s="2" t="n"/>
    </row>
    <row r="150" ht="15.75" customHeight="1">
      <c r="E150" s="1" t="n"/>
      <c r="G150" s="2" t="n"/>
    </row>
    <row r="151" ht="15.75" customHeight="1">
      <c r="E151" s="1" t="n"/>
      <c r="G151" s="2" t="n"/>
    </row>
    <row r="152" ht="15.75" customHeight="1">
      <c r="E152" s="1" t="n"/>
      <c r="G152" s="2" t="n"/>
    </row>
    <row r="153" ht="15.75" customHeight="1">
      <c r="E153" s="1" t="n"/>
      <c r="G153" s="2" t="n"/>
    </row>
    <row r="154" ht="15.75" customHeight="1">
      <c r="E154" s="1" t="n"/>
      <c r="G154" s="2" t="n"/>
    </row>
    <row r="155" ht="15.75" customHeight="1">
      <c r="E155" s="1" t="n"/>
      <c r="G155" s="2" t="n"/>
    </row>
    <row r="156" ht="15.75" customHeight="1">
      <c r="E156" s="1" t="n"/>
      <c r="G156" s="2" t="n"/>
    </row>
    <row r="157" ht="15.75" customHeight="1">
      <c r="E157" s="1" t="n"/>
      <c r="G157" s="2" t="n"/>
    </row>
    <row r="158" ht="15.75" customHeight="1">
      <c r="E158" s="1" t="n"/>
      <c r="G158" s="2" t="n"/>
    </row>
    <row r="159" ht="15.75" customHeight="1">
      <c r="E159" s="1" t="n"/>
      <c r="G159" s="2" t="n"/>
    </row>
    <row r="160" ht="15.75" customHeight="1">
      <c r="E160" s="1" t="n"/>
      <c r="G160" s="2" t="n"/>
    </row>
    <row r="161" ht="15.75" customHeight="1">
      <c r="E161" s="1" t="n"/>
      <c r="G161" s="2" t="n"/>
    </row>
    <row r="162" ht="15.75" customHeight="1">
      <c r="E162" s="1" t="n"/>
      <c r="G162" s="2" t="n"/>
    </row>
    <row r="163" ht="15.75" customHeight="1">
      <c r="E163" s="1" t="n"/>
      <c r="G163" s="2" t="n"/>
    </row>
    <row r="164" ht="15.75" customHeight="1">
      <c r="E164" s="1" t="n"/>
      <c r="G164" s="2" t="n"/>
    </row>
    <row r="165" ht="15.75" customHeight="1">
      <c r="E165" s="1" t="n"/>
      <c r="G165" s="2" t="n"/>
    </row>
    <row r="166" ht="15.75" customHeight="1">
      <c r="E166" s="1" t="n"/>
      <c r="G166" s="2" t="n"/>
    </row>
    <row r="167" ht="15.75" customHeight="1">
      <c r="E167" s="1" t="n"/>
      <c r="G167" s="2" t="n"/>
    </row>
    <row r="168" ht="15.75" customHeight="1">
      <c r="E168" s="1" t="n"/>
      <c r="G168" s="2" t="n"/>
    </row>
    <row r="169" ht="15.75" customHeight="1">
      <c r="E169" s="1" t="n"/>
      <c r="G169" s="2" t="n"/>
    </row>
    <row r="170" ht="15.75" customHeight="1">
      <c r="E170" s="1" t="n"/>
      <c r="G170" s="2" t="n"/>
    </row>
    <row r="171" ht="15.75" customHeight="1">
      <c r="E171" s="1" t="n"/>
      <c r="G171" s="2" t="n"/>
    </row>
    <row r="172" ht="15.75" customHeight="1">
      <c r="E172" s="1" t="n"/>
      <c r="G172" s="2" t="n"/>
    </row>
    <row r="173" ht="15.75" customHeight="1">
      <c r="E173" s="1" t="n"/>
      <c r="G173" s="2" t="n"/>
    </row>
    <row r="174" ht="15.75" customHeight="1">
      <c r="E174" s="1" t="n"/>
      <c r="G174" s="2" t="n"/>
    </row>
    <row r="175" ht="15.75" customHeight="1">
      <c r="E175" s="1" t="n"/>
      <c r="G175" s="2" t="n"/>
    </row>
    <row r="176" ht="15.75" customHeight="1">
      <c r="E176" s="1" t="n"/>
      <c r="G176" s="2" t="n"/>
    </row>
    <row r="177" ht="15.75" customHeight="1">
      <c r="E177" s="1" t="n"/>
      <c r="G177" s="2" t="n"/>
    </row>
    <row r="178" ht="15.75" customHeight="1">
      <c r="E178" s="1" t="n"/>
      <c r="G178" s="2" t="n"/>
    </row>
    <row r="179" ht="15.75" customHeight="1">
      <c r="E179" s="1" t="n"/>
      <c r="G179" s="2" t="n"/>
    </row>
    <row r="180" ht="15.75" customHeight="1">
      <c r="E180" s="1" t="n"/>
      <c r="G180" s="2" t="n"/>
    </row>
    <row r="181" ht="15.75" customHeight="1">
      <c r="E181" s="1" t="n"/>
      <c r="G181" s="2" t="n"/>
    </row>
    <row r="182" ht="15.75" customHeight="1">
      <c r="E182" s="1" t="n"/>
      <c r="G182" s="2" t="n"/>
    </row>
    <row r="183" ht="15.75" customHeight="1">
      <c r="E183" s="1" t="n"/>
      <c r="G183" s="2" t="n"/>
    </row>
    <row r="184" ht="15.75" customHeight="1">
      <c r="E184" s="1" t="n"/>
      <c r="G184" s="2" t="n"/>
    </row>
    <row r="185" ht="15.75" customHeight="1">
      <c r="E185" s="1" t="n"/>
      <c r="G185" s="2" t="n"/>
    </row>
    <row r="186" ht="15.75" customHeight="1">
      <c r="E186" s="1" t="n"/>
      <c r="G186" s="2" t="n"/>
    </row>
    <row r="187" ht="15.75" customHeight="1">
      <c r="E187" s="1" t="n"/>
      <c r="G187" s="2" t="n"/>
    </row>
    <row r="188" ht="15.75" customHeight="1">
      <c r="E188" s="1" t="n"/>
      <c r="G188" s="2" t="n"/>
    </row>
    <row r="189" ht="15.75" customHeight="1">
      <c r="E189" s="1" t="n"/>
      <c r="G189" s="2" t="n"/>
    </row>
    <row r="190" ht="15.75" customHeight="1">
      <c r="E190" s="1" t="n"/>
      <c r="G190" s="2" t="n"/>
    </row>
    <row r="191" ht="15.75" customHeight="1">
      <c r="E191" s="1" t="n"/>
      <c r="G191" s="2" t="n"/>
    </row>
    <row r="192" ht="15.75" customHeight="1">
      <c r="E192" s="1" t="n"/>
      <c r="G192" s="2" t="n"/>
    </row>
    <row r="193" ht="15.75" customHeight="1">
      <c r="E193" s="1" t="n"/>
      <c r="G193" s="2" t="n"/>
    </row>
    <row r="194" ht="15.75" customHeight="1">
      <c r="E194" s="1" t="n"/>
      <c r="G194" s="2" t="n"/>
    </row>
    <row r="195" ht="15.75" customHeight="1">
      <c r="E195" s="1" t="n"/>
      <c r="G195" s="2" t="n"/>
    </row>
    <row r="196" ht="15.75" customHeight="1">
      <c r="E196" s="1" t="n"/>
      <c r="G196" s="2" t="n"/>
    </row>
    <row r="197" ht="15.75" customHeight="1">
      <c r="E197" s="1" t="n"/>
      <c r="G197" s="2" t="n"/>
    </row>
    <row r="198" ht="15.75" customHeight="1">
      <c r="E198" s="1" t="n"/>
      <c r="G198" s="2" t="n"/>
    </row>
    <row r="199" ht="15.75" customHeight="1">
      <c r="E199" s="1" t="n"/>
      <c r="G199" s="2" t="n"/>
    </row>
    <row r="200" ht="15.75" customHeight="1">
      <c r="E200" s="1" t="n"/>
      <c r="G200" s="2" t="n"/>
    </row>
    <row r="201" ht="15.75" customHeight="1">
      <c r="E201" s="1" t="n"/>
      <c r="G201" s="2" t="n"/>
    </row>
    <row r="202" ht="15.75" customHeight="1">
      <c r="E202" s="1" t="n"/>
      <c r="G202" s="2" t="n"/>
    </row>
    <row r="203" ht="15.75" customHeight="1">
      <c r="E203" s="1" t="n"/>
      <c r="G203" s="2" t="n"/>
    </row>
    <row r="204" ht="15.75" customHeight="1">
      <c r="E204" s="1" t="n"/>
      <c r="G204" s="2" t="n"/>
    </row>
    <row r="205" ht="15.75" customHeight="1">
      <c r="E205" s="1" t="n"/>
      <c r="G205" s="2" t="n"/>
    </row>
    <row r="206" ht="15.75" customHeight="1">
      <c r="E206" s="1" t="n"/>
      <c r="G206" s="2" t="n"/>
    </row>
    <row r="207" ht="15.75" customHeight="1">
      <c r="E207" s="1" t="n"/>
      <c r="G207" s="2" t="n"/>
    </row>
    <row r="208" ht="15.75" customHeight="1">
      <c r="E208" s="1" t="n"/>
      <c r="G208" s="2" t="n"/>
    </row>
    <row r="209" ht="15.75" customHeight="1">
      <c r="E209" s="1" t="n"/>
      <c r="G209" s="2" t="n"/>
    </row>
    <row r="210" ht="15.75" customHeight="1">
      <c r="E210" s="1" t="n"/>
      <c r="G210" s="2" t="n"/>
    </row>
    <row r="211" ht="15.75" customHeight="1">
      <c r="E211" s="1" t="n"/>
      <c r="G211" s="2" t="n"/>
    </row>
    <row r="212" ht="15.75" customHeight="1">
      <c r="E212" s="1" t="n"/>
      <c r="G212" s="2" t="n"/>
    </row>
    <row r="213" ht="15.75" customHeight="1">
      <c r="E213" s="1" t="n"/>
      <c r="G213" s="2" t="n"/>
    </row>
    <row r="214" ht="15.75" customHeight="1">
      <c r="E214" s="1" t="n"/>
      <c r="G214" s="2" t="n"/>
    </row>
    <row r="215" ht="15.75" customHeight="1">
      <c r="E215" s="1" t="n"/>
      <c r="G215" s="2" t="n"/>
    </row>
    <row r="216" ht="15.75" customHeight="1">
      <c r="E216" s="1" t="n"/>
      <c r="G216" s="2" t="n"/>
    </row>
    <row r="217" ht="15.75" customHeight="1">
      <c r="E217" s="1" t="n"/>
      <c r="G217" s="2" t="n"/>
    </row>
    <row r="218" ht="15.75" customHeight="1">
      <c r="E218" s="1" t="n"/>
      <c r="G218" s="2" t="n"/>
    </row>
    <row r="219" ht="15.75" customHeight="1">
      <c r="E219" s="1" t="n"/>
      <c r="G219" s="2" t="n"/>
    </row>
    <row r="220" ht="15.75" customHeight="1">
      <c r="E220" s="1" t="n"/>
      <c r="G220" s="2" t="n"/>
    </row>
    <row r="221" ht="15.75" customHeight="1">
      <c r="E221" s="1" t="n"/>
      <c r="G221" s="2" t="n"/>
    </row>
    <row r="222" ht="15.75" customHeight="1">
      <c r="E222" s="1" t="n"/>
      <c r="G222" s="2" t="n"/>
    </row>
    <row r="223" ht="15.75" customHeight="1">
      <c r="E223" s="1" t="n"/>
      <c r="G223" s="2" t="n"/>
    </row>
    <row r="224" ht="15.75" customHeight="1">
      <c r="E224" s="1" t="n"/>
      <c r="G224" s="2" t="n"/>
    </row>
    <row r="225" ht="15.75" customHeight="1">
      <c r="E225" s="1" t="n"/>
      <c r="G225" s="2" t="n"/>
    </row>
    <row r="226" ht="15.75" customHeight="1">
      <c r="E226" s="1" t="n"/>
      <c r="G226" s="2" t="n"/>
    </row>
    <row r="227" ht="15.75" customHeight="1">
      <c r="E227" s="1" t="n"/>
      <c r="G227" s="2" t="n"/>
    </row>
    <row r="228" ht="15.75" customHeight="1">
      <c r="E228" s="1" t="n"/>
      <c r="G228" s="2" t="n"/>
    </row>
    <row r="229" ht="15.75" customHeight="1">
      <c r="E229" s="1" t="n"/>
      <c r="G229" s="2" t="n"/>
    </row>
    <row r="230" ht="15.75" customHeight="1">
      <c r="E230" s="1" t="n"/>
      <c r="G230" s="2" t="n"/>
    </row>
    <row r="231" ht="15.75" customHeight="1">
      <c r="E231" s="1" t="n"/>
      <c r="G231" s="2" t="n"/>
    </row>
    <row r="232" ht="15.75" customHeight="1">
      <c r="E232" s="1" t="n"/>
      <c r="G232" s="2" t="n"/>
    </row>
    <row r="233" ht="15.75" customHeight="1">
      <c r="E233" s="1" t="n"/>
      <c r="G233" s="2" t="n"/>
    </row>
    <row r="234" ht="15.75" customHeight="1">
      <c r="E234" s="1" t="n"/>
      <c r="G234" s="2" t="n"/>
    </row>
    <row r="235" ht="15.75" customHeight="1">
      <c r="E235" s="1" t="n"/>
      <c r="G235" s="2" t="n"/>
    </row>
    <row r="236" ht="15.75" customHeight="1">
      <c r="E236" s="1" t="n"/>
      <c r="G236" s="2" t="n"/>
    </row>
    <row r="237" ht="15.75" customHeight="1">
      <c r="E237" s="1" t="n"/>
      <c r="G237" s="2" t="n"/>
    </row>
    <row r="238" ht="15.75" customHeight="1">
      <c r="E238" s="1" t="n"/>
      <c r="G238" s="2" t="n"/>
    </row>
    <row r="239" ht="15.75" customHeight="1">
      <c r="E239" s="1" t="n"/>
      <c r="G239" s="2" t="n"/>
    </row>
    <row r="240" ht="15.75" customHeight="1">
      <c r="E240" s="1" t="n"/>
      <c r="G240" s="2" t="n"/>
    </row>
    <row r="241" ht="15.75" customHeight="1">
      <c r="E241" s="1" t="n"/>
      <c r="G241" s="2" t="n"/>
    </row>
    <row r="242" ht="15.75" customHeight="1">
      <c r="E242" s="1" t="n"/>
      <c r="G242" s="2" t="n"/>
    </row>
    <row r="243" ht="15.75" customHeight="1">
      <c r="E243" s="1" t="n"/>
      <c r="G243" s="2" t="n"/>
    </row>
    <row r="244" ht="15.75" customHeight="1">
      <c r="E244" s="1" t="n"/>
      <c r="G244" s="2" t="n"/>
    </row>
    <row r="245" ht="15.75" customHeight="1">
      <c r="E245" s="1" t="n"/>
      <c r="G245" s="2" t="n"/>
    </row>
    <row r="246" ht="15.75" customHeight="1">
      <c r="E246" s="1" t="n"/>
      <c r="G246" s="2" t="n"/>
    </row>
    <row r="247" ht="15.75" customHeight="1">
      <c r="E247" s="1" t="n"/>
      <c r="G247" s="2" t="n"/>
    </row>
    <row r="248" ht="15.75" customHeight="1">
      <c r="E248" s="1" t="n"/>
      <c r="G248" s="2" t="n"/>
    </row>
    <row r="249" ht="15.75" customHeight="1">
      <c r="E249" s="1" t="n"/>
      <c r="G249" s="2" t="n"/>
    </row>
    <row r="250" ht="15.75" customHeight="1">
      <c r="E250" s="1" t="n"/>
      <c r="G250" s="2" t="n"/>
    </row>
    <row r="251" ht="15.75" customHeight="1">
      <c r="E251" s="1" t="n"/>
      <c r="G251" s="2" t="n"/>
    </row>
    <row r="252" ht="15.75" customHeight="1">
      <c r="E252" s="1" t="n"/>
      <c r="G252" s="2" t="n"/>
    </row>
    <row r="253" ht="15.75" customHeight="1">
      <c r="E253" s="1" t="n"/>
      <c r="G253" s="2" t="n"/>
    </row>
    <row r="254" ht="15.75" customHeight="1">
      <c r="E254" s="1" t="n"/>
      <c r="G254" s="2" t="n"/>
    </row>
    <row r="255" ht="15.75" customHeight="1">
      <c r="E255" s="1" t="n"/>
      <c r="G255" s="2" t="n"/>
    </row>
    <row r="256" ht="15.75" customHeight="1">
      <c r="E256" s="1" t="n"/>
      <c r="G256" s="2" t="n"/>
    </row>
    <row r="257" ht="15.75" customHeight="1">
      <c r="E257" s="1" t="n"/>
      <c r="G257" s="2" t="n"/>
    </row>
    <row r="258" ht="15.75" customHeight="1">
      <c r="E258" s="1" t="n"/>
      <c r="G258" s="2" t="n"/>
    </row>
    <row r="259" ht="15.75" customHeight="1">
      <c r="E259" s="1" t="n"/>
      <c r="G259" s="2" t="n"/>
    </row>
    <row r="260" ht="15.75" customHeight="1">
      <c r="E260" s="1" t="n"/>
      <c r="G260" s="2" t="n"/>
    </row>
    <row r="261" ht="15.75" customHeight="1">
      <c r="E261" s="1" t="n"/>
      <c r="G261" s="2" t="n"/>
    </row>
    <row r="262" ht="15.75" customHeight="1">
      <c r="E262" s="1" t="n"/>
      <c r="G262" s="2" t="n"/>
    </row>
    <row r="263" ht="15.75" customHeight="1">
      <c r="E263" s="1" t="n"/>
      <c r="G263" s="2" t="n"/>
    </row>
    <row r="264" ht="15.75" customHeight="1">
      <c r="E264" s="1" t="n"/>
      <c r="G264" s="2" t="n"/>
    </row>
    <row r="265" ht="15.75" customHeight="1">
      <c r="E265" s="1" t="n"/>
      <c r="G265" s="2" t="n"/>
    </row>
    <row r="266" ht="15.75" customHeight="1">
      <c r="E266" s="1" t="n"/>
      <c r="G266" s="2" t="n"/>
    </row>
    <row r="267" ht="15.75" customHeight="1">
      <c r="E267" s="1" t="n"/>
      <c r="G267" s="2" t="n"/>
    </row>
    <row r="268" ht="15.75" customHeight="1">
      <c r="E268" s="1" t="n"/>
      <c r="G268" s="2" t="n"/>
    </row>
    <row r="269" ht="15.75" customHeight="1">
      <c r="E269" s="1" t="n"/>
      <c r="G269" s="2" t="n"/>
    </row>
    <row r="270" ht="15.75" customHeight="1">
      <c r="E270" s="1" t="n"/>
      <c r="G270" s="2" t="n"/>
    </row>
    <row r="271" ht="15.75" customHeight="1">
      <c r="E271" s="1" t="n"/>
      <c r="G271" s="2" t="n"/>
    </row>
    <row r="272" ht="15.75" customHeight="1">
      <c r="E272" s="1" t="n"/>
      <c r="G272" s="2" t="n"/>
    </row>
    <row r="273" ht="15.75" customHeight="1">
      <c r="E273" s="1" t="n"/>
      <c r="G273" s="2" t="n"/>
    </row>
    <row r="274" ht="15.75" customHeight="1">
      <c r="E274" s="1" t="n"/>
      <c r="G274" s="2" t="n"/>
    </row>
    <row r="275" ht="15.75" customHeight="1">
      <c r="E275" s="1" t="n"/>
      <c r="G275" s="2" t="n"/>
    </row>
    <row r="276" ht="15.75" customHeight="1">
      <c r="E276" s="1" t="n"/>
      <c r="G276" s="2" t="n"/>
    </row>
    <row r="277" ht="15.75" customHeight="1">
      <c r="E277" s="1" t="n"/>
      <c r="G277" s="2" t="n"/>
    </row>
    <row r="278" ht="15.75" customHeight="1">
      <c r="E278" s="1" t="n"/>
      <c r="G278" s="2" t="n"/>
    </row>
    <row r="279" ht="15.75" customHeight="1">
      <c r="E279" s="1" t="n"/>
      <c r="G279" s="2" t="n"/>
    </row>
    <row r="280" ht="15.75" customHeight="1">
      <c r="E280" s="1" t="n"/>
      <c r="G280" s="2" t="n"/>
    </row>
    <row r="281" ht="15.75" customHeight="1">
      <c r="E281" s="1" t="n"/>
      <c r="G281" s="2" t="n"/>
    </row>
    <row r="282" ht="15.75" customHeight="1">
      <c r="E282" s="1" t="n"/>
      <c r="G282" s="2" t="n"/>
    </row>
    <row r="283" ht="15.75" customHeight="1">
      <c r="E283" s="1" t="n"/>
      <c r="G283" s="2" t="n"/>
    </row>
    <row r="284" ht="15.75" customHeight="1">
      <c r="E284" s="1" t="n"/>
      <c r="G284" s="2" t="n"/>
    </row>
    <row r="285" ht="15.75" customHeight="1">
      <c r="E285" s="1" t="n"/>
      <c r="G285" s="2" t="n"/>
    </row>
    <row r="286" ht="15.75" customHeight="1">
      <c r="E286" s="1" t="n"/>
      <c r="G286" s="2" t="n"/>
    </row>
    <row r="287" ht="15.75" customHeight="1">
      <c r="E287" s="1" t="n"/>
      <c r="G287" s="2" t="n"/>
    </row>
    <row r="288" ht="15.75" customHeight="1">
      <c r="E288" s="1" t="n"/>
      <c r="G288" s="2" t="n"/>
    </row>
    <row r="289" ht="15.75" customHeight="1">
      <c r="E289" s="1" t="n"/>
      <c r="G289" s="2" t="n"/>
    </row>
    <row r="290" ht="15.75" customHeight="1">
      <c r="E290" s="1" t="n"/>
      <c r="G290" s="2" t="n"/>
    </row>
    <row r="291" ht="15.75" customHeight="1">
      <c r="E291" s="1" t="n"/>
      <c r="G291" s="2" t="n"/>
    </row>
    <row r="292" ht="15.75" customHeight="1">
      <c r="E292" s="1" t="n"/>
      <c r="G292" s="2" t="n"/>
    </row>
    <row r="293" ht="15.75" customHeight="1">
      <c r="E293" s="1" t="n"/>
      <c r="G293" s="2" t="n"/>
    </row>
    <row r="294" ht="15.75" customHeight="1">
      <c r="E294" s="1" t="n"/>
      <c r="G294" s="2" t="n"/>
    </row>
    <row r="295" ht="15.75" customHeight="1">
      <c r="E295" s="1" t="n"/>
      <c r="G295" s="2" t="n"/>
    </row>
    <row r="296" ht="15.75" customHeight="1">
      <c r="E296" s="1" t="n"/>
      <c r="G296" s="2" t="n"/>
    </row>
    <row r="297" ht="15.75" customHeight="1">
      <c r="E297" s="1" t="n"/>
      <c r="G297" s="2" t="n"/>
    </row>
    <row r="298" ht="15.75" customHeight="1">
      <c r="E298" s="1" t="n"/>
      <c r="G298" s="2" t="n"/>
    </row>
    <row r="299" ht="15.75" customHeight="1">
      <c r="E299" s="1" t="n"/>
      <c r="G299" s="2" t="n"/>
    </row>
    <row r="300" ht="15.75" customHeight="1">
      <c r="E300" s="1" t="n"/>
      <c r="G300" s="2" t="n"/>
    </row>
    <row r="301" ht="15.75" customHeight="1">
      <c r="E301" s="1" t="n"/>
      <c r="G301" s="2" t="n"/>
    </row>
    <row r="302" ht="15.75" customHeight="1">
      <c r="E302" s="1" t="n"/>
      <c r="G302" s="2" t="n"/>
    </row>
    <row r="303" ht="15.75" customHeight="1">
      <c r="E303" s="1" t="n"/>
      <c r="G303" s="2" t="n"/>
    </row>
    <row r="304" ht="15.75" customHeight="1">
      <c r="E304" s="1" t="n"/>
      <c r="G304" s="2" t="n"/>
    </row>
    <row r="305" ht="15.75" customHeight="1">
      <c r="E305" s="1" t="n"/>
      <c r="G305" s="2" t="n"/>
    </row>
    <row r="306" ht="15.75" customHeight="1">
      <c r="E306" s="1" t="n"/>
      <c r="G306" s="2" t="n"/>
    </row>
    <row r="307" ht="15.75" customHeight="1">
      <c r="E307" s="1" t="n"/>
      <c r="G307" s="2" t="n"/>
    </row>
    <row r="308" ht="15.75" customHeight="1">
      <c r="E308" s="1" t="n"/>
      <c r="G308" s="2" t="n"/>
    </row>
    <row r="309" ht="15.75" customHeight="1">
      <c r="E309" s="1" t="n"/>
      <c r="G309" s="2" t="n"/>
    </row>
    <row r="310" ht="15.75" customHeight="1">
      <c r="E310" s="1" t="n"/>
      <c r="G310" s="2" t="n"/>
    </row>
    <row r="311" ht="15.75" customHeight="1">
      <c r="E311" s="1" t="n"/>
      <c r="G311" s="2" t="n"/>
    </row>
    <row r="312" ht="15.75" customHeight="1">
      <c r="E312" s="1" t="n"/>
      <c r="G312" s="2" t="n"/>
    </row>
    <row r="313" ht="15.75" customHeight="1">
      <c r="E313" s="1" t="n"/>
      <c r="G313" s="2" t="n"/>
    </row>
    <row r="314" ht="15.75" customHeight="1">
      <c r="E314" s="1" t="n"/>
      <c r="G314" s="2" t="n"/>
    </row>
    <row r="315" ht="15.75" customHeight="1">
      <c r="E315" s="1" t="n"/>
      <c r="G315" s="2" t="n"/>
    </row>
    <row r="316" ht="15.75" customHeight="1">
      <c r="E316" s="1" t="n"/>
      <c r="G316" s="2" t="n"/>
    </row>
    <row r="317" ht="15.75" customHeight="1">
      <c r="E317" s="1" t="n"/>
      <c r="G317" s="2" t="n"/>
    </row>
    <row r="318" ht="15.75" customHeight="1">
      <c r="E318" s="1" t="n"/>
      <c r="G318" s="2" t="n"/>
    </row>
    <row r="319" ht="15.75" customHeight="1">
      <c r="E319" s="1" t="n"/>
      <c r="G319" s="2" t="n"/>
    </row>
    <row r="320" ht="15.75" customHeight="1">
      <c r="E320" s="1" t="n"/>
      <c r="G320" s="2" t="n"/>
    </row>
    <row r="321" ht="15.75" customHeight="1">
      <c r="E321" s="1" t="n"/>
      <c r="G321" s="2" t="n"/>
    </row>
    <row r="322" ht="15.75" customHeight="1">
      <c r="E322" s="1" t="n"/>
      <c r="G322" s="2" t="n"/>
    </row>
    <row r="323" ht="15.75" customHeight="1">
      <c r="E323" s="1" t="n"/>
      <c r="G323" s="2" t="n"/>
    </row>
    <row r="324" ht="15.75" customHeight="1">
      <c r="E324" s="1" t="n"/>
      <c r="G324" s="2" t="n"/>
    </row>
    <row r="325" ht="15.75" customHeight="1">
      <c r="E325" s="1" t="n"/>
      <c r="G325" s="2" t="n"/>
    </row>
    <row r="326" ht="15.75" customHeight="1">
      <c r="E326" s="1" t="n"/>
      <c r="G326" s="2" t="n"/>
    </row>
    <row r="327" ht="15.75" customHeight="1">
      <c r="E327" s="1" t="n"/>
      <c r="G327" s="2" t="n"/>
    </row>
    <row r="328" ht="15.75" customHeight="1">
      <c r="E328" s="1" t="n"/>
      <c r="G328" s="2" t="n"/>
    </row>
    <row r="329" ht="15.75" customHeight="1">
      <c r="E329" s="1" t="n"/>
      <c r="G329" s="2" t="n"/>
    </row>
    <row r="330" ht="15.75" customHeight="1">
      <c r="E330" s="1" t="n"/>
      <c r="G330" s="2" t="n"/>
    </row>
    <row r="331" ht="15.75" customHeight="1">
      <c r="E331" s="1" t="n"/>
      <c r="G331" s="2" t="n"/>
    </row>
    <row r="332" ht="15.75" customHeight="1">
      <c r="E332" s="1" t="n"/>
      <c r="G332" s="2" t="n"/>
    </row>
    <row r="333" ht="15.75" customHeight="1">
      <c r="E333" s="1" t="n"/>
      <c r="G333" s="2" t="n"/>
    </row>
    <row r="334" ht="15.75" customHeight="1">
      <c r="E334" s="1" t="n"/>
      <c r="G334" s="2" t="n"/>
    </row>
    <row r="335" ht="15.75" customHeight="1">
      <c r="E335" s="1" t="n"/>
      <c r="G335" s="2" t="n"/>
    </row>
    <row r="336" ht="15.75" customHeight="1">
      <c r="E336" s="1" t="n"/>
      <c r="G336" s="2" t="n"/>
    </row>
    <row r="337" ht="15.75" customHeight="1">
      <c r="E337" s="1" t="n"/>
      <c r="G337" s="2" t="n"/>
    </row>
    <row r="338" ht="15.75" customHeight="1">
      <c r="E338" s="1" t="n"/>
      <c r="G338" s="2" t="n"/>
    </row>
    <row r="339" ht="15.75" customHeight="1">
      <c r="E339" s="1" t="n"/>
      <c r="G339" s="2" t="n"/>
    </row>
    <row r="340" ht="15.75" customHeight="1">
      <c r="E340" s="1" t="n"/>
      <c r="G340" s="2" t="n"/>
    </row>
    <row r="341" ht="15.75" customHeight="1">
      <c r="E341" s="1" t="n"/>
      <c r="G341" s="2" t="n"/>
    </row>
    <row r="342" ht="15.75" customHeight="1">
      <c r="E342" s="1" t="n"/>
      <c r="G342" s="2" t="n"/>
    </row>
    <row r="343" ht="15.75" customHeight="1">
      <c r="E343" s="1" t="n"/>
      <c r="G343" s="2" t="n"/>
    </row>
    <row r="344" ht="15.75" customHeight="1">
      <c r="E344" s="1" t="n"/>
      <c r="G344" s="2" t="n"/>
    </row>
    <row r="345" ht="15.75" customHeight="1">
      <c r="E345" s="1" t="n"/>
      <c r="G345" s="2" t="n"/>
    </row>
    <row r="346" ht="15.75" customHeight="1">
      <c r="E346" s="1" t="n"/>
      <c r="G346" s="2" t="n"/>
    </row>
    <row r="347" ht="15.75" customHeight="1">
      <c r="E347" s="1" t="n"/>
      <c r="G347" s="2" t="n"/>
    </row>
    <row r="348" ht="15.75" customHeight="1">
      <c r="E348" s="1" t="n"/>
      <c r="G348" s="2" t="n"/>
    </row>
    <row r="349" ht="15.75" customHeight="1">
      <c r="E349" s="1" t="n"/>
      <c r="G349" s="2" t="n"/>
    </row>
    <row r="350" ht="15.75" customHeight="1">
      <c r="E350" s="1" t="n"/>
      <c r="G350" s="2" t="n"/>
    </row>
    <row r="351" ht="15.75" customHeight="1">
      <c r="E351" s="1" t="n"/>
      <c r="G351" s="2" t="n"/>
    </row>
    <row r="352" ht="15.75" customHeight="1">
      <c r="E352" s="1" t="n"/>
      <c r="G352" s="2" t="n"/>
    </row>
    <row r="353" ht="15.75" customHeight="1">
      <c r="E353" s="1" t="n"/>
      <c r="G353" s="2" t="n"/>
    </row>
    <row r="354" ht="15.75" customHeight="1">
      <c r="E354" s="1" t="n"/>
      <c r="G354" s="2" t="n"/>
    </row>
    <row r="355" ht="15.75" customHeight="1">
      <c r="E355" s="1" t="n"/>
      <c r="G355" s="2" t="n"/>
    </row>
    <row r="356" ht="15.75" customHeight="1">
      <c r="E356" s="1" t="n"/>
      <c r="G356" s="2" t="n"/>
    </row>
    <row r="357" ht="15.75" customHeight="1">
      <c r="E357" s="1" t="n"/>
      <c r="G357" s="2" t="n"/>
    </row>
    <row r="358" ht="15.75" customHeight="1">
      <c r="E358" s="1" t="n"/>
      <c r="G358" s="2" t="n"/>
    </row>
    <row r="359" ht="15.75" customHeight="1">
      <c r="E359" s="1" t="n"/>
      <c r="G359" s="2" t="n"/>
    </row>
    <row r="360" ht="15.75" customHeight="1">
      <c r="E360" s="1" t="n"/>
      <c r="G360" s="2" t="n"/>
    </row>
    <row r="361" ht="15.75" customHeight="1">
      <c r="E361" s="1" t="n"/>
      <c r="G361" s="2" t="n"/>
    </row>
    <row r="362" ht="15.75" customHeight="1">
      <c r="E362" s="1" t="n"/>
      <c r="G362" s="2" t="n"/>
    </row>
    <row r="363" ht="15.75" customHeight="1">
      <c r="E363" s="1" t="n"/>
      <c r="G363" s="2" t="n"/>
    </row>
    <row r="364" ht="15.75" customHeight="1">
      <c r="E364" s="1" t="n"/>
      <c r="G364" s="2" t="n"/>
    </row>
    <row r="365" ht="15.75" customHeight="1">
      <c r="E365" s="1" t="n"/>
      <c r="G365" s="2" t="n"/>
    </row>
    <row r="366" ht="15.75" customHeight="1">
      <c r="E366" s="1" t="n"/>
      <c r="G366" s="2" t="n"/>
    </row>
    <row r="367" ht="15.75" customHeight="1">
      <c r="E367" s="1" t="n"/>
      <c r="G367" s="2" t="n"/>
    </row>
    <row r="368" ht="15.75" customHeight="1">
      <c r="E368" s="1" t="n"/>
      <c r="G368" s="2" t="n"/>
    </row>
    <row r="369" ht="15.75" customHeight="1">
      <c r="E369" s="1" t="n"/>
      <c r="G369" s="2" t="n"/>
    </row>
    <row r="370" ht="15.75" customHeight="1">
      <c r="E370" s="1" t="n"/>
      <c r="G370" s="2" t="n"/>
    </row>
    <row r="371" ht="15.75" customHeight="1">
      <c r="E371" s="1" t="n"/>
      <c r="G371" s="2" t="n"/>
    </row>
    <row r="372" ht="15.75" customHeight="1">
      <c r="E372" s="1" t="n"/>
      <c r="G372" s="2" t="n"/>
    </row>
    <row r="373" ht="15.75" customHeight="1">
      <c r="E373" s="1" t="n"/>
      <c r="G373" s="2" t="n"/>
    </row>
    <row r="374" ht="15.75" customHeight="1">
      <c r="E374" s="1" t="n"/>
      <c r="G374" s="2" t="n"/>
    </row>
    <row r="375" ht="15.75" customHeight="1">
      <c r="E375" s="1" t="n"/>
      <c r="G375" s="2" t="n"/>
    </row>
    <row r="376" ht="15.75" customHeight="1">
      <c r="E376" s="1" t="n"/>
      <c r="G376" s="2" t="n"/>
    </row>
    <row r="377" ht="15.75" customHeight="1">
      <c r="E377" s="1" t="n"/>
      <c r="G377" s="2" t="n"/>
    </row>
    <row r="378" ht="15.75" customHeight="1">
      <c r="E378" s="1" t="n"/>
      <c r="G378" s="2" t="n"/>
    </row>
    <row r="379" ht="15.75" customHeight="1">
      <c r="E379" s="1" t="n"/>
      <c r="G379" s="2" t="n"/>
    </row>
    <row r="380" ht="15.75" customHeight="1">
      <c r="E380" s="1" t="n"/>
      <c r="G380" s="2" t="n"/>
    </row>
    <row r="381" ht="15.75" customHeight="1">
      <c r="E381" s="1" t="n"/>
      <c r="G381" s="2" t="n"/>
    </row>
    <row r="382" ht="15.75" customHeight="1">
      <c r="E382" s="1" t="n"/>
      <c r="G382" s="2" t="n"/>
    </row>
    <row r="383" ht="15.75" customHeight="1">
      <c r="E383" s="1" t="n"/>
      <c r="G383" s="2" t="n"/>
    </row>
    <row r="384" ht="15.75" customHeight="1">
      <c r="E384" s="1" t="n"/>
      <c r="G384" s="2" t="n"/>
    </row>
    <row r="385" ht="15.75" customHeight="1">
      <c r="E385" s="1" t="n"/>
      <c r="G385" s="2" t="n"/>
    </row>
    <row r="386" ht="15.75" customHeight="1">
      <c r="E386" s="1" t="n"/>
      <c r="G386" s="2" t="n"/>
    </row>
    <row r="387" ht="15.75" customHeight="1">
      <c r="E387" s="1" t="n"/>
      <c r="G387" s="2" t="n"/>
    </row>
    <row r="388" ht="15.75" customHeight="1">
      <c r="E388" s="1" t="n"/>
      <c r="G388" s="2" t="n"/>
    </row>
    <row r="389" ht="15.75" customHeight="1">
      <c r="E389" s="1" t="n"/>
      <c r="G389" s="2" t="n"/>
    </row>
    <row r="390" ht="15.75" customHeight="1">
      <c r="E390" s="1" t="n"/>
      <c r="G390" s="2" t="n"/>
    </row>
    <row r="391" ht="15.75" customHeight="1">
      <c r="E391" s="1" t="n"/>
      <c r="G391" s="2" t="n"/>
    </row>
    <row r="392" ht="15.75" customHeight="1">
      <c r="E392" s="1" t="n"/>
      <c r="G392" s="2" t="n"/>
    </row>
    <row r="393" ht="15.75" customHeight="1">
      <c r="E393" s="1" t="n"/>
      <c r="G393" s="2" t="n"/>
    </row>
    <row r="394" ht="15.75" customHeight="1">
      <c r="E394" s="1" t="n"/>
      <c r="G394" s="2" t="n"/>
    </row>
    <row r="395" ht="15.75" customHeight="1">
      <c r="E395" s="1" t="n"/>
      <c r="G395" s="2" t="n"/>
    </row>
    <row r="396" ht="15.75" customHeight="1">
      <c r="E396" s="1" t="n"/>
      <c r="G396" s="2" t="n"/>
    </row>
    <row r="397" ht="15.75" customHeight="1">
      <c r="E397" s="1" t="n"/>
      <c r="G397" s="2" t="n"/>
    </row>
    <row r="398" ht="15.75" customHeight="1">
      <c r="E398" s="1" t="n"/>
      <c r="G398" s="2" t="n"/>
    </row>
    <row r="399" ht="15.75" customHeight="1">
      <c r="E399" s="1" t="n"/>
      <c r="G399" s="2" t="n"/>
    </row>
    <row r="400" ht="15.75" customHeight="1">
      <c r="E400" s="1" t="n"/>
      <c r="G400" s="2" t="n"/>
    </row>
    <row r="401" ht="15.75" customHeight="1">
      <c r="E401" s="1" t="n"/>
      <c r="G401" s="2" t="n"/>
    </row>
    <row r="402" ht="15.75" customHeight="1">
      <c r="E402" s="1" t="n"/>
      <c r="G402" s="2" t="n"/>
    </row>
    <row r="403" ht="15.75" customHeight="1">
      <c r="E403" s="1" t="n"/>
      <c r="G403" s="2" t="n"/>
    </row>
    <row r="404" ht="15.75" customHeight="1">
      <c r="E404" s="1" t="n"/>
      <c r="G404" s="2" t="n"/>
    </row>
    <row r="405" ht="15.75" customHeight="1">
      <c r="E405" s="1" t="n"/>
      <c r="G405" s="2" t="n"/>
    </row>
    <row r="406" ht="15.75" customHeight="1">
      <c r="E406" s="1" t="n"/>
      <c r="G406" s="2" t="n"/>
    </row>
    <row r="407" ht="15.75" customHeight="1">
      <c r="E407" s="1" t="n"/>
      <c r="G407" s="2" t="n"/>
    </row>
    <row r="408" ht="15.75" customHeight="1">
      <c r="E408" s="1" t="n"/>
      <c r="G408" s="2" t="n"/>
    </row>
    <row r="409" ht="15.75" customHeight="1">
      <c r="E409" s="1" t="n"/>
      <c r="G409" s="2" t="n"/>
    </row>
    <row r="410" ht="15.75" customHeight="1">
      <c r="E410" s="1" t="n"/>
      <c r="G410" s="2" t="n"/>
    </row>
    <row r="411" ht="15.75" customHeight="1">
      <c r="E411" s="1" t="n"/>
      <c r="G411" s="2" t="n"/>
    </row>
    <row r="412" ht="15.75" customHeight="1">
      <c r="E412" s="1" t="n"/>
      <c r="G412" s="2" t="n"/>
    </row>
    <row r="413" ht="15.75" customHeight="1">
      <c r="E413" s="1" t="n"/>
      <c r="G413" s="2" t="n"/>
    </row>
    <row r="414" ht="15.75" customHeight="1">
      <c r="E414" s="1" t="n"/>
      <c r="G414" s="2" t="n"/>
    </row>
    <row r="415" ht="15.75" customHeight="1">
      <c r="E415" s="1" t="n"/>
      <c r="G415" s="2" t="n"/>
    </row>
    <row r="416" ht="15.75" customHeight="1">
      <c r="E416" s="1" t="n"/>
      <c r="G416" s="2" t="n"/>
    </row>
    <row r="417" ht="15.75" customHeight="1">
      <c r="E417" s="1" t="n"/>
      <c r="G417" s="2" t="n"/>
    </row>
    <row r="418" ht="15.75" customHeight="1">
      <c r="E418" s="1" t="n"/>
      <c r="G418" s="2" t="n"/>
    </row>
    <row r="419" ht="15.75" customHeight="1">
      <c r="E419" s="1" t="n"/>
      <c r="G419" s="2" t="n"/>
    </row>
    <row r="420" ht="15.75" customHeight="1">
      <c r="E420" s="1" t="n"/>
      <c r="G420" s="2" t="n"/>
    </row>
    <row r="421" ht="15.75" customHeight="1">
      <c r="E421" s="1" t="n"/>
      <c r="G421" s="2" t="n"/>
    </row>
    <row r="422" ht="15.75" customHeight="1">
      <c r="E422" s="1" t="n"/>
      <c r="G422" s="2" t="n"/>
    </row>
    <row r="423" ht="15.75" customHeight="1">
      <c r="E423" s="1" t="n"/>
      <c r="G423" s="2" t="n"/>
    </row>
    <row r="424" ht="15.75" customHeight="1">
      <c r="E424" s="1" t="n"/>
      <c r="G424" s="2" t="n"/>
    </row>
    <row r="425" ht="15.75" customHeight="1">
      <c r="E425" s="1" t="n"/>
      <c r="G425" s="2" t="n"/>
    </row>
    <row r="426" ht="15.75" customHeight="1">
      <c r="E426" s="1" t="n"/>
      <c r="G426" s="2" t="n"/>
    </row>
    <row r="427" ht="15.75" customHeight="1">
      <c r="E427" s="1" t="n"/>
      <c r="G427" s="2" t="n"/>
    </row>
    <row r="428" ht="15.75" customHeight="1">
      <c r="E428" s="1" t="n"/>
      <c r="G428" s="2" t="n"/>
    </row>
    <row r="429" ht="15.75" customHeight="1">
      <c r="E429" s="1" t="n"/>
      <c r="G429" s="2" t="n"/>
    </row>
    <row r="430" ht="15.75" customHeight="1">
      <c r="E430" s="1" t="n"/>
      <c r="G430" s="2" t="n"/>
    </row>
    <row r="431" ht="15.75" customHeight="1">
      <c r="E431" s="1" t="n"/>
      <c r="G431" s="2" t="n"/>
    </row>
    <row r="432" ht="15.75" customHeight="1">
      <c r="E432" s="1" t="n"/>
      <c r="G432" s="2" t="n"/>
    </row>
    <row r="433" ht="15.75" customHeight="1">
      <c r="E433" s="1" t="n"/>
      <c r="G433" s="2" t="n"/>
    </row>
    <row r="434" ht="15.75" customHeight="1">
      <c r="E434" s="1" t="n"/>
      <c r="G434" s="2" t="n"/>
    </row>
    <row r="435" ht="15.75" customHeight="1">
      <c r="E435" s="1" t="n"/>
      <c r="G435" s="2" t="n"/>
    </row>
    <row r="436" ht="15.75" customHeight="1">
      <c r="E436" s="1" t="n"/>
      <c r="G436" s="2" t="n"/>
    </row>
    <row r="437" ht="15.75" customHeight="1">
      <c r="E437" s="1" t="n"/>
      <c r="G437" s="2" t="n"/>
    </row>
    <row r="438" ht="15.75" customHeight="1">
      <c r="E438" s="1" t="n"/>
      <c r="G438" s="2" t="n"/>
    </row>
    <row r="439" ht="15.75" customHeight="1">
      <c r="E439" s="1" t="n"/>
      <c r="G439" s="2" t="n"/>
    </row>
    <row r="440" ht="15.75" customHeight="1">
      <c r="E440" s="1" t="n"/>
      <c r="G440" s="2" t="n"/>
    </row>
    <row r="441" ht="15.75" customHeight="1">
      <c r="E441" s="1" t="n"/>
      <c r="G441" s="2" t="n"/>
    </row>
    <row r="442" ht="15.75" customHeight="1">
      <c r="E442" s="1" t="n"/>
      <c r="G442" s="2" t="n"/>
    </row>
    <row r="443" ht="15.75" customHeight="1">
      <c r="E443" s="1" t="n"/>
      <c r="G443" s="2" t="n"/>
    </row>
    <row r="444" ht="15.75" customHeight="1">
      <c r="E444" s="1" t="n"/>
      <c r="G444" s="2" t="n"/>
    </row>
    <row r="445" ht="15.75" customHeight="1">
      <c r="E445" s="1" t="n"/>
      <c r="G445" s="2" t="n"/>
    </row>
    <row r="446" ht="15.75" customHeight="1">
      <c r="E446" s="1" t="n"/>
      <c r="G446" s="2" t="n"/>
    </row>
    <row r="447" ht="15.75" customHeight="1">
      <c r="E447" s="1" t="n"/>
      <c r="G447" s="2" t="n"/>
    </row>
    <row r="448" ht="15.75" customHeight="1">
      <c r="E448" s="1" t="n"/>
      <c r="G448" s="2" t="n"/>
    </row>
    <row r="449" ht="15.75" customHeight="1">
      <c r="E449" s="1" t="n"/>
      <c r="G449" s="2" t="n"/>
    </row>
    <row r="450" ht="15.75" customHeight="1">
      <c r="E450" s="1" t="n"/>
      <c r="G450" s="2" t="n"/>
    </row>
    <row r="451" ht="15.75" customHeight="1">
      <c r="E451" s="1" t="n"/>
      <c r="G451" s="2" t="n"/>
    </row>
    <row r="452" ht="15.75" customHeight="1">
      <c r="E452" s="1" t="n"/>
      <c r="G452" s="2" t="n"/>
    </row>
    <row r="453" ht="15.75" customHeight="1">
      <c r="E453" s="1" t="n"/>
      <c r="G453" s="2" t="n"/>
    </row>
    <row r="454" ht="15.75" customHeight="1">
      <c r="E454" s="1" t="n"/>
      <c r="G454" s="2" t="n"/>
    </row>
    <row r="455" ht="15.75" customHeight="1">
      <c r="E455" s="1" t="n"/>
      <c r="G455" s="2" t="n"/>
    </row>
    <row r="456" ht="15.75" customHeight="1">
      <c r="E456" s="1" t="n"/>
      <c r="G456" s="2" t="n"/>
    </row>
    <row r="457" ht="15.75" customHeight="1">
      <c r="E457" s="1" t="n"/>
      <c r="G457" s="2" t="n"/>
    </row>
    <row r="458" ht="15.75" customHeight="1">
      <c r="E458" s="1" t="n"/>
      <c r="G458" s="2" t="n"/>
    </row>
    <row r="459" ht="15.75" customHeight="1">
      <c r="E459" s="1" t="n"/>
      <c r="G459" s="2" t="n"/>
    </row>
    <row r="460" ht="15.75" customHeight="1">
      <c r="E460" s="1" t="n"/>
      <c r="G460" s="2" t="n"/>
    </row>
    <row r="461" ht="15.75" customHeight="1">
      <c r="E461" s="1" t="n"/>
      <c r="G461" s="2" t="n"/>
    </row>
    <row r="462" ht="15.75" customHeight="1">
      <c r="E462" s="1" t="n"/>
      <c r="G462" s="2" t="n"/>
    </row>
    <row r="463" ht="15.75" customHeight="1">
      <c r="E463" s="1" t="n"/>
      <c r="G463" s="2" t="n"/>
    </row>
    <row r="464" ht="15.75" customHeight="1">
      <c r="E464" s="1" t="n"/>
      <c r="G464" s="2" t="n"/>
    </row>
    <row r="465" ht="15.75" customHeight="1">
      <c r="E465" s="1" t="n"/>
      <c r="G465" s="2" t="n"/>
    </row>
    <row r="466" ht="15.75" customHeight="1">
      <c r="E466" s="1" t="n"/>
      <c r="G466" s="2" t="n"/>
    </row>
    <row r="467" ht="15.75" customHeight="1">
      <c r="E467" s="1" t="n"/>
      <c r="G467" s="2" t="n"/>
    </row>
    <row r="468" ht="15.75" customHeight="1">
      <c r="E468" s="1" t="n"/>
      <c r="G468" s="2" t="n"/>
    </row>
    <row r="469" ht="15.75" customHeight="1">
      <c r="E469" s="1" t="n"/>
      <c r="G469" s="2" t="n"/>
    </row>
    <row r="470" ht="15.75" customHeight="1">
      <c r="E470" s="1" t="n"/>
      <c r="G470" s="2" t="n"/>
    </row>
    <row r="471" ht="15.75" customHeight="1">
      <c r="E471" s="1" t="n"/>
      <c r="G471" s="2" t="n"/>
    </row>
    <row r="472" ht="15.75" customHeight="1">
      <c r="E472" s="1" t="n"/>
      <c r="G472" s="2" t="n"/>
    </row>
    <row r="473" ht="15.75" customHeight="1">
      <c r="E473" s="1" t="n"/>
      <c r="G473" s="2" t="n"/>
    </row>
    <row r="474" ht="15.75" customHeight="1">
      <c r="E474" s="1" t="n"/>
      <c r="G474" s="2" t="n"/>
    </row>
    <row r="475" ht="15.75" customHeight="1">
      <c r="E475" s="1" t="n"/>
      <c r="G475" s="2" t="n"/>
    </row>
    <row r="476" ht="15.75" customHeight="1">
      <c r="E476" s="1" t="n"/>
      <c r="G476" s="2" t="n"/>
    </row>
    <row r="477" ht="15.75" customHeight="1">
      <c r="E477" s="1" t="n"/>
      <c r="G477" s="2" t="n"/>
    </row>
    <row r="478" ht="15.75" customHeight="1">
      <c r="E478" s="1" t="n"/>
      <c r="G478" s="2" t="n"/>
    </row>
    <row r="479" ht="15.75" customHeight="1">
      <c r="E479" s="1" t="n"/>
      <c r="G479" s="2" t="n"/>
    </row>
    <row r="480" ht="15.75" customHeight="1">
      <c r="E480" s="1" t="n"/>
      <c r="G480" s="2" t="n"/>
    </row>
    <row r="481" ht="15.75" customHeight="1">
      <c r="E481" s="1" t="n"/>
      <c r="G481" s="2" t="n"/>
    </row>
    <row r="482" ht="15.75" customHeight="1">
      <c r="E482" s="1" t="n"/>
      <c r="G482" s="2" t="n"/>
    </row>
    <row r="483" ht="15.75" customHeight="1">
      <c r="E483" s="1" t="n"/>
      <c r="G483" s="2" t="n"/>
    </row>
    <row r="484" ht="15.75" customHeight="1">
      <c r="E484" s="1" t="n"/>
      <c r="G484" s="2" t="n"/>
    </row>
    <row r="485" ht="15.75" customHeight="1">
      <c r="E485" s="1" t="n"/>
      <c r="G485" s="2" t="n"/>
    </row>
    <row r="486" ht="15.75" customHeight="1">
      <c r="E486" s="1" t="n"/>
      <c r="G486" s="2" t="n"/>
    </row>
    <row r="487" ht="15.75" customHeight="1">
      <c r="E487" s="1" t="n"/>
      <c r="G487" s="2" t="n"/>
    </row>
    <row r="488" ht="15.75" customHeight="1">
      <c r="E488" s="1" t="n"/>
      <c r="G488" s="2" t="n"/>
    </row>
    <row r="489" ht="15.75" customHeight="1">
      <c r="E489" s="1" t="n"/>
      <c r="G489" s="2" t="n"/>
    </row>
    <row r="490" ht="15.75" customHeight="1">
      <c r="E490" s="1" t="n"/>
      <c r="G490" s="2" t="n"/>
    </row>
    <row r="491" ht="15.75" customHeight="1">
      <c r="E491" s="1" t="n"/>
      <c r="G491" s="2" t="n"/>
    </row>
    <row r="492" ht="15.75" customHeight="1">
      <c r="E492" s="1" t="n"/>
      <c r="G492" s="2" t="n"/>
    </row>
    <row r="493" ht="15.75" customHeight="1">
      <c r="E493" s="1" t="n"/>
      <c r="G493" s="2" t="n"/>
    </row>
    <row r="494" ht="15.75" customHeight="1">
      <c r="E494" s="1" t="n"/>
      <c r="G494" s="2" t="n"/>
    </row>
    <row r="495" ht="15.75" customHeight="1">
      <c r="E495" s="1" t="n"/>
      <c r="G495" s="2" t="n"/>
    </row>
    <row r="496" ht="15.75" customHeight="1">
      <c r="E496" s="1" t="n"/>
      <c r="G496" s="2" t="n"/>
    </row>
    <row r="497" ht="15.75" customHeight="1">
      <c r="E497" s="1" t="n"/>
      <c r="G497" s="2" t="n"/>
    </row>
    <row r="498" ht="15.75" customHeight="1">
      <c r="E498" s="1" t="n"/>
      <c r="G498" s="2" t="n"/>
    </row>
    <row r="499" ht="15.75" customHeight="1">
      <c r="E499" s="1" t="n"/>
      <c r="G499" s="2" t="n"/>
    </row>
    <row r="500" ht="15.75" customHeight="1">
      <c r="E500" s="1" t="n"/>
      <c r="G500" s="2" t="n"/>
    </row>
    <row r="501" ht="15.75" customHeight="1">
      <c r="E501" s="1" t="n"/>
      <c r="G501" s="2" t="n"/>
    </row>
    <row r="502" ht="15.75" customHeight="1">
      <c r="E502" s="1" t="n"/>
      <c r="G502" s="2" t="n"/>
    </row>
    <row r="503" ht="15.75" customHeight="1">
      <c r="E503" s="1" t="n"/>
      <c r="G503" s="2" t="n"/>
    </row>
    <row r="504" ht="15.75" customHeight="1">
      <c r="E504" s="1" t="n"/>
      <c r="G504" s="2" t="n"/>
    </row>
    <row r="505" ht="15.75" customHeight="1">
      <c r="E505" s="1" t="n"/>
      <c r="G505" s="2" t="n"/>
    </row>
    <row r="506" ht="15.75" customHeight="1">
      <c r="E506" s="1" t="n"/>
      <c r="G506" s="2" t="n"/>
    </row>
    <row r="507" ht="15.75" customHeight="1">
      <c r="E507" s="1" t="n"/>
      <c r="G507" s="2" t="n"/>
    </row>
    <row r="508" ht="15.75" customHeight="1">
      <c r="E508" s="1" t="n"/>
      <c r="G508" s="2" t="n"/>
    </row>
    <row r="509" ht="15.75" customHeight="1">
      <c r="E509" s="1" t="n"/>
      <c r="G509" s="2" t="n"/>
    </row>
    <row r="510" ht="15.75" customHeight="1">
      <c r="E510" s="1" t="n"/>
      <c r="G510" s="2" t="n"/>
    </row>
    <row r="511" ht="15.75" customHeight="1">
      <c r="E511" s="1" t="n"/>
      <c r="G511" s="2" t="n"/>
    </row>
    <row r="512" ht="15.75" customHeight="1">
      <c r="E512" s="1" t="n"/>
      <c r="G512" s="2" t="n"/>
    </row>
    <row r="513" ht="15.75" customHeight="1">
      <c r="E513" s="1" t="n"/>
      <c r="G513" s="2" t="n"/>
    </row>
    <row r="514" ht="15.75" customHeight="1">
      <c r="E514" s="1" t="n"/>
      <c r="G514" s="2" t="n"/>
    </row>
    <row r="515" ht="15.75" customHeight="1">
      <c r="E515" s="1" t="n"/>
      <c r="G515" s="2" t="n"/>
    </row>
    <row r="516" ht="15.75" customHeight="1">
      <c r="E516" s="1" t="n"/>
      <c r="G516" s="2" t="n"/>
    </row>
    <row r="517" ht="15.75" customHeight="1">
      <c r="E517" s="1" t="n"/>
      <c r="G517" s="2" t="n"/>
    </row>
    <row r="518" ht="15.75" customHeight="1">
      <c r="E518" s="1" t="n"/>
      <c r="G518" s="2" t="n"/>
    </row>
    <row r="519" ht="15.75" customHeight="1">
      <c r="E519" s="1" t="n"/>
      <c r="G519" s="2" t="n"/>
    </row>
    <row r="520" ht="15.75" customHeight="1">
      <c r="E520" s="1" t="n"/>
      <c r="G520" s="2" t="n"/>
    </row>
    <row r="521" ht="15.75" customHeight="1">
      <c r="E521" s="1" t="n"/>
      <c r="G521" s="2" t="n"/>
    </row>
    <row r="522" ht="15.75" customHeight="1">
      <c r="E522" s="1" t="n"/>
      <c r="G522" s="2" t="n"/>
    </row>
    <row r="523" ht="15.75" customHeight="1">
      <c r="E523" s="1" t="n"/>
      <c r="G523" s="2" t="n"/>
    </row>
    <row r="524" ht="15.75" customHeight="1">
      <c r="E524" s="1" t="n"/>
      <c r="G524" s="2" t="n"/>
    </row>
    <row r="525" ht="15.75" customHeight="1">
      <c r="E525" s="1" t="n"/>
      <c r="G525" s="2" t="n"/>
    </row>
    <row r="526" ht="15.75" customHeight="1">
      <c r="E526" s="1" t="n"/>
      <c r="G526" s="2" t="n"/>
    </row>
    <row r="527" ht="15.75" customHeight="1">
      <c r="E527" s="1" t="n"/>
      <c r="G527" s="2" t="n"/>
    </row>
    <row r="528" ht="15.75" customHeight="1">
      <c r="E528" s="1" t="n"/>
      <c r="G528" s="2" t="n"/>
    </row>
    <row r="529" ht="15.75" customHeight="1">
      <c r="E529" s="1" t="n"/>
      <c r="G529" s="2" t="n"/>
    </row>
    <row r="530" ht="15.75" customHeight="1">
      <c r="E530" s="1" t="n"/>
      <c r="G530" s="2" t="n"/>
    </row>
    <row r="531" ht="15.75" customHeight="1">
      <c r="E531" s="1" t="n"/>
      <c r="G531" s="2" t="n"/>
    </row>
    <row r="532" ht="15.75" customHeight="1">
      <c r="E532" s="1" t="n"/>
      <c r="G532" s="2" t="n"/>
    </row>
    <row r="533" ht="15.75" customHeight="1">
      <c r="E533" s="1" t="n"/>
      <c r="G533" s="2" t="n"/>
    </row>
    <row r="534" ht="15.75" customHeight="1">
      <c r="E534" s="1" t="n"/>
      <c r="G534" s="2" t="n"/>
    </row>
    <row r="535" ht="15.75" customHeight="1">
      <c r="E535" s="1" t="n"/>
      <c r="G535" s="2" t="n"/>
    </row>
    <row r="536" ht="15.75" customHeight="1">
      <c r="E536" s="1" t="n"/>
      <c r="G536" s="2" t="n"/>
    </row>
    <row r="537" ht="15.75" customHeight="1">
      <c r="E537" s="1" t="n"/>
      <c r="G537" s="2" t="n"/>
    </row>
    <row r="538" ht="15.75" customHeight="1">
      <c r="E538" s="1" t="n"/>
      <c r="G538" s="2" t="n"/>
    </row>
    <row r="539" ht="15.75" customHeight="1">
      <c r="E539" s="1" t="n"/>
      <c r="G539" s="2" t="n"/>
    </row>
    <row r="540" ht="15.75" customHeight="1">
      <c r="E540" s="1" t="n"/>
      <c r="G540" s="2" t="n"/>
    </row>
    <row r="541" ht="15.75" customHeight="1">
      <c r="E541" s="1" t="n"/>
      <c r="G541" s="2" t="n"/>
    </row>
    <row r="542" ht="15.75" customHeight="1">
      <c r="E542" s="1" t="n"/>
      <c r="G542" s="2" t="n"/>
    </row>
    <row r="543" ht="15.75" customHeight="1">
      <c r="E543" s="1" t="n"/>
      <c r="G543" s="2" t="n"/>
    </row>
    <row r="544" ht="15.75" customHeight="1">
      <c r="E544" s="1" t="n"/>
      <c r="G544" s="2" t="n"/>
    </row>
    <row r="545" ht="15.75" customHeight="1">
      <c r="E545" s="1" t="n"/>
      <c r="G545" s="2" t="n"/>
    </row>
    <row r="546" ht="15.75" customHeight="1">
      <c r="E546" s="1" t="n"/>
      <c r="G546" s="2" t="n"/>
    </row>
    <row r="547" ht="15.75" customHeight="1">
      <c r="E547" s="1" t="n"/>
      <c r="G547" s="2" t="n"/>
    </row>
    <row r="548" ht="15.75" customHeight="1">
      <c r="E548" s="1" t="n"/>
      <c r="G548" s="2" t="n"/>
    </row>
    <row r="549" ht="15.75" customHeight="1">
      <c r="E549" s="1" t="n"/>
      <c r="G549" s="2" t="n"/>
    </row>
    <row r="550" ht="15.75" customHeight="1">
      <c r="E550" s="1" t="n"/>
      <c r="G550" s="2" t="n"/>
    </row>
    <row r="551" ht="15.75" customHeight="1">
      <c r="E551" s="1" t="n"/>
      <c r="G551" s="2" t="n"/>
    </row>
    <row r="552" ht="15.75" customHeight="1">
      <c r="E552" s="1" t="n"/>
      <c r="G552" s="2" t="n"/>
    </row>
    <row r="553" ht="15.75" customHeight="1">
      <c r="E553" s="1" t="n"/>
      <c r="G553" s="2" t="n"/>
    </row>
    <row r="554" ht="15.75" customHeight="1">
      <c r="E554" s="1" t="n"/>
      <c r="G554" s="2" t="n"/>
    </row>
    <row r="555" ht="15.75" customHeight="1">
      <c r="E555" s="1" t="n"/>
      <c r="G555" s="2" t="n"/>
    </row>
    <row r="556" ht="15.75" customHeight="1">
      <c r="E556" s="1" t="n"/>
      <c r="G556" s="2" t="n"/>
    </row>
    <row r="557" ht="15.75" customHeight="1">
      <c r="E557" s="1" t="n"/>
      <c r="G557" s="2" t="n"/>
    </row>
    <row r="558" ht="15.75" customHeight="1">
      <c r="E558" s="1" t="n"/>
      <c r="G558" s="2" t="n"/>
    </row>
    <row r="559" ht="15.75" customHeight="1">
      <c r="E559" s="1" t="n"/>
      <c r="G559" s="2" t="n"/>
    </row>
    <row r="560" ht="15.75" customHeight="1">
      <c r="E560" s="1" t="n"/>
      <c r="G560" s="2" t="n"/>
    </row>
    <row r="561" ht="15.75" customHeight="1">
      <c r="E561" s="1" t="n"/>
      <c r="G561" s="2" t="n"/>
    </row>
    <row r="562" ht="15.75" customHeight="1">
      <c r="E562" s="1" t="n"/>
      <c r="G562" s="2" t="n"/>
    </row>
    <row r="563" ht="15.75" customHeight="1">
      <c r="E563" s="1" t="n"/>
      <c r="G563" s="2" t="n"/>
    </row>
    <row r="564" ht="15.75" customHeight="1">
      <c r="E564" s="1" t="n"/>
      <c r="G564" s="2" t="n"/>
    </row>
    <row r="565" ht="15.75" customHeight="1">
      <c r="E565" s="1" t="n"/>
      <c r="G565" s="2" t="n"/>
    </row>
    <row r="566" ht="15.75" customHeight="1">
      <c r="E566" s="1" t="n"/>
      <c r="G566" s="2" t="n"/>
    </row>
    <row r="567" ht="15.75" customHeight="1">
      <c r="E567" s="1" t="n"/>
      <c r="G567" s="2" t="n"/>
    </row>
    <row r="568" ht="15.75" customHeight="1">
      <c r="E568" s="1" t="n"/>
      <c r="G568" s="2" t="n"/>
    </row>
    <row r="569" ht="15.75" customHeight="1">
      <c r="E569" s="1" t="n"/>
      <c r="G569" s="2" t="n"/>
    </row>
    <row r="570" ht="15.75" customHeight="1">
      <c r="E570" s="1" t="n"/>
      <c r="G570" s="2" t="n"/>
    </row>
    <row r="571" ht="15.75" customHeight="1">
      <c r="E571" s="1" t="n"/>
      <c r="G571" s="2" t="n"/>
    </row>
    <row r="572" ht="15.75" customHeight="1">
      <c r="E572" s="1" t="n"/>
      <c r="G572" s="2" t="n"/>
    </row>
    <row r="573" ht="15.75" customHeight="1">
      <c r="E573" s="1" t="n"/>
      <c r="G573" s="2" t="n"/>
    </row>
    <row r="574" ht="15.75" customHeight="1">
      <c r="E574" s="1" t="n"/>
      <c r="G574" s="2" t="n"/>
    </row>
    <row r="575" ht="15.75" customHeight="1">
      <c r="E575" s="1" t="n"/>
      <c r="G575" s="2" t="n"/>
    </row>
    <row r="576" ht="15.75" customHeight="1">
      <c r="E576" s="1" t="n"/>
      <c r="G576" s="2" t="n"/>
    </row>
    <row r="577" ht="15.75" customHeight="1">
      <c r="E577" s="1" t="n"/>
      <c r="G577" s="2" t="n"/>
    </row>
    <row r="578" ht="15.75" customHeight="1">
      <c r="E578" s="1" t="n"/>
      <c r="G578" s="2" t="n"/>
    </row>
    <row r="579" ht="15.75" customHeight="1">
      <c r="E579" s="1" t="n"/>
      <c r="G579" s="2" t="n"/>
    </row>
    <row r="580" ht="15.75" customHeight="1">
      <c r="E580" s="1" t="n"/>
      <c r="G580" s="2" t="n"/>
    </row>
    <row r="581" ht="15.75" customHeight="1">
      <c r="E581" s="1" t="n"/>
      <c r="G581" s="2" t="n"/>
    </row>
    <row r="582" ht="15.75" customHeight="1">
      <c r="E582" s="1" t="n"/>
      <c r="G582" s="2" t="n"/>
    </row>
    <row r="583" ht="15.75" customHeight="1">
      <c r="E583" s="1" t="n"/>
      <c r="G583" s="2" t="n"/>
    </row>
    <row r="584" ht="15.75" customHeight="1">
      <c r="E584" s="1" t="n"/>
      <c r="G584" s="2" t="n"/>
    </row>
    <row r="585" ht="15.75" customHeight="1">
      <c r="E585" s="1" t="n"/>
      <c r="G585" s="2" t="n"/>
    </row>
    <row r="586" ht="15.75" customHeight="1">
      <c r="E586" s="1" t="n"/>
      <c r="G586" s="2" t="n"/>
    </row>
    <row r="587" ht="15.75" customHeight="1">
      <c r="E587" s="1" t="n"/>
      <c r="G587" s="2" t="n"/>
    </row>
    <row r="588" ht="15.75" customHeight="1">
      <c r="E588" s="1" t="n"/>
      <c r="G588" s="2" t="n"/>
    </row>
    <row r="589" ht="15.75" customHeight="1">
      <c r="E589" s="1" t="n"/>
      <c r="G589" s="2" t="n"/>
    </row>
    <row r="590" ht="15.75" customHeight="1">
      <c r="E590" s="1" t="n"/>
      <c r="G590" s="2" t="n"/>
    </row>
    <row r="591" ht="15.75" customHeight="1">
      <c r="E591" s="1" t="n"/>
      <c r="G591" s="2" t="n"/>
    </row>
    <row r="592" ht="15.75" customHeight="1">
      <c r="E592" s="1" t="n"/>
      <c r="G592" s="2" t="n"/>
    </row>
    <row r="593" ht="15.75" customHeight="1">
      <c r="E593" s="1" t="n"/>
      <c r="G593" s="2" t="n"/>
    </row>
    <row r="594" ht="15.75" customHeight="1">
      <c r="E594" s="1" t="n"/>
      <c r="G594" s="2" t="n"/>
    </row>
    <row r="595" ht="15.75" customHeight="1">
      <c r="E595" s="1" t="n"/>
      <c r="G595" s="2" t="n"/>
    </row>
    <row r="596" ht="15.75" customHeight="1">
      <c r="E596" s="1" t="n"/>
      <c r="G596" s="2" t="n"/>
    </row>
    <row r="597" ht="15.75" customHeight="1">
      <c r="E597" s="1" t="n"/>
      <c r="G597" s="2" t="n"/>
    </row>
    <row r="598" ht="15.75" customHeight="1">
      <c r="E598" s="1" t="n"/>
      <c r="G598" s="2" t="n"/>
    </row>
    <row r="599" ht="15.75" customHeight="1">
      <c r="E599" s="1" t="n"/>
      <c r="G599" s="2" t="n"/>
    </row>
    <row r="600" ht="15.75" customHeight="1">
      <c r="E600" s="1" t="n"/>
      <c r="G600" s="2" t="n"/>
    </row>
    <row r="601" ht="15.75" customHeight="1">
      <c r="E601" s="1" t="n"/>
      <c r="G601" s="2" t="n"/>
    </row>
    <row r="602" ht="15.75" customHeight="1">
      <c r="E602" s="1" t="n"/>
      <c r="G602" s="2" t="n"/>
    </row>
    <row r="603" ht="15.75" customHeight="1">
      <c r="E603" s="1" t="n"/>
      <c r="G603" s="2" t="n"/>
    </row>
    <row r="604" ht="15.75" customHeight="1">
      <c r="E604" s="1" t="n"/>
      <c r="G604" s="2" t="n"/>
    </row>
    <row r="605" ht="15.75" customHeight="1">
      <c r="E605" s="1" t="n"/>
      <c r="G605" s="2" t="n"/>
    </row>
    <row r="606" ht="15.75" customHeight="1">
      <c r="E606" s="1" t="n"/>
      <c r="G606" s="2" t="n"/>
    </row>
    <row r="607" ht="15.75" customHeight="1">
      <c r="E607" s="1" t="n"/>
      <c r="G607" s="2" t="n"/>
    </row>
    <row r="608" ht="15.75" customHeight="1">
      <c r="E608" s="1" t="n"/>
      <c r="G608" s="2" t="n"/>
    </row>
    <row r="609" ht="15.75" customHeight="1">
      <c r="E609" s="1" t="n"/>
      <c r="G609" s="2" t="n"/>
    </row>
    <row r="610" ht="15.75" customHeight="1">
      <c r="E610" s="1" t="n"/>
      <c r="G610" s="2" t="n"/>
    </row>
    <row r="611" ht="15.75" customHeight="1">
      <c r="E611" s="1" t="n"/>
      <c r="G611" s="2" t="n"/>
    </row>
    <row r="612" ht="15.75" customHeight="1">
      <c r="E612" s="1" t="n"/>
      <c r="G612" s="2" t="n"/>
    </row>
    <row r="613" ht="15.75" customHeight="1">
      <c r="E613" s="1" t="n"/>
      <c r="G613" s="2" t="n"/>
    </row>
    <row r="614" ht="15.75" customHeight="1">
      <c r="E614" s="1" t="n"/>
      <c r="G614" s="2" t="n"/>
    </row>
    <row r="615" ht="15.75" customHeight="1">
      <c r="E615" s="1" t="n"/>
      <c r="G615" s="2" t="n"/>
    </row>
    <row r="616" ht="15.75" customHeight="1">
      <c r="E616" s="1" t="n"/>
      <c r="G616" s="2" t="n"/>
    </row>
    <row r="617" ht="15.75" customHeight="1">
      <c r="E617" s="1" t="n"/>
      <c r="G617" s="2" t="n"/>
    </row>
    <row r="618" ht="15.75" customHeight="1">
      <c r="E618" s="1" t="n"/>
      <c r="G618" s="2" t="n"/>
    </row>
    <row r="619" ht="15.75" customHeight="1">
      <c r="E619" s="1" t="n"/>
      <c r="G619" s="2" t="n"/>
    </row>
    <row r="620" ht="15.75" customHeight="1">
      <c r="E620" s="1" t="n"/>
      <c r="G620" s="2" t="n"/>
    </row>
    <row r="621" ht="15.75" customHeight="1">
      <c r="E621" s="1" t="n"/>
      <c r="G621" s="2" t="n"/>
    </row>
    <row r="622" ht="15.75" customHeight="1">
      <c r="E622" s="1" t="n"/>
      <c r="G622" s="2" t="n"/>
    </row>
    <row r="623" ht="15.75" customHeight="1">
      <c r="E623" s="1" t="n"/>
      <c r="G623" s="2" t="n"/>
    </row>
    <row r="624" ht="15.75" customHeight="1">
      <c r="E624" s="1" t="n"/>
      <c r="G624" s="2" t="n"/>
    </row>
    <row r="625" ht="15.75" customHeight="1">
      <c r="E625" s="1" t="n"/>
      <c r="G625" s="2" t="n"/>
    </row>
    <row r="626" ht="15.75" customHeight="1">
      <c r="E626" s="1" t="n"/>
      <c r="G626" s="2" t="n"/>
    </row>
    <row r="627" ht="15.75" customHeight="1">
      <c r="E627" s="1" t="n"/>
      <c r="G627" s="2" t="n"/>
    </row>
    <row r="628" ht="15.75" customHeight="1">
      <c r="E628" s="1" t="n"/>
      <c r="G628" s="2" t="n"/>
    </row>
    <row r="629" ht="15.75" customHeight="1">
      <c r="E629" s="1" t="n"/>
      <c r="G629" s="2" t="n"/>
    </row>
    <row r="630" ht="15.75" customHeight="1">
      <c r="E630" s="1" t="n"/>
      <c r="G630" s="2" t="n"/>
    </row>
    <row r="631" ht="15.75" customHeight="1">
      <c r="E631" s="1" t="n"/>
      <c r="G631" s="2" t="n"/>
    </row>
    <row r="632" ht="15.75" customHeight="1">
      <c r="E632" s="1" t="n"/>
      <c r="G632" s="2" t="n"/>
    </row>
    <row r="633" ht="15.75" customHeight="1">
      <c r="E633" s="1" t="n"/>
      <c r="G633" s="2" t="n"/>
    </row>
    <row r="634" ht="15.75" customHeight="1">
      <c r="E634" s="1" t="n"/>
      <c r="G634" s="2" t="n"/>
    </row>
    <row r="635" ht="15.75" customHeight="1">
      <c r="E635" s="1" t="n"/>
      <c r="G635" s="2" t="n"/>
    </row>
    <row r="636" ht="15.75" customHeight="1">
      <c r="E636" s="1" t="n"/>
      <c r="G636" s="2" t="n"/>
    </row>
    <row r="637" ht="15.75" customHeight="1">
      <c r="E637" s="1" t="n"/>
      <c r="G637" s="2" t="n"/>
    </row>
    <row r="638" ht="15.75" customHeight="1">
      <c r="E638" s="1" t="n"/>
      <c r="G638" s="2" t="n"/>
    </row>
    <row r="639" ht="15.75" customHeight="1">
      <c r="E639" s="1" t="n"/>
      <c r="G639" s="2" t="n"/>
    </row>
    <row r="640" ht="15.75" customHeight="1">
      <c r="E640" s="1" t="n"/>
      <c r="G640" s="2" t="n"/>
    </row>
    <row r="641" ht="15.75" customHeight="1">
      <c r="E641" s="1" t="n"/>
      <c r="G641" s="2" t="n"/>
    </row>
    <row r="642" ht="15.75" customHeight="1">
      <c r="E642" s="1" t="n"/>
      <c r="G642" s="2" t="n"/>
    </row>
    <row r="643" ht="15.75" customHeight="1">
      <c r="E643" s="1" t="n"/>
      <c r="G643" s="2" t="n"/>
    </row>
    <row r="644" ht="15.75" customHeight="1">
      <c r="E644" s="1" t="n"/>
      <c r="G644" s="2" t="n"/>
    </row>
    <row r="645" ht="15.75" customHeight="1">
      <c r="E645" s="1" t="n"/>
      <c r="G645" s="2" t="n"/>
    </row>
    <row r="646" ht="15.75" customHeight="1">
      <c r="E646" s="1" t="n"/>
      <c r="G646" s="2" t="n"/>
    </row>
    <row r="647" ht="15.75" customHeight="1">
      <c r="E647" s="1" t="n"/>
      <c r="G647" s="2" t="n"/>
    </row>
    <row r="648" ht="15.75" customHeight="1">
      <c r="E648" s="1" t="n"/>
      <c r="G648" s="2" t="n"/>
    </row>
    <row r="649" ht="15.75" customHeight="1">
      <c r="E649" s="1" t="n"/>
      <c r="G649" s="2" t="n"/>
    </row>
    <row r="650" ht="15.75" customHeight="1">
      <c r="E650" s="1" t="n"/>
      <c r="G650" s="2" t="n"/>
    </row>
    <row r="651" ht="15.75" customHeight="1">
      <c r="E651" s="1" t="n"/>
      <c r="G651" s="2" t="n"/>
    </row>
    <row r="652" ht="15.75" customHeight="1">
      <c r="E652" s="1" t="n"/>
      <c r="G652" s="2" t="n"/>
    </row>
    <row r="653" ht="15.75" customHeight="1">
      <c r="E653" s="1" t="n"/>
      <c r="G653" s="2" t="n"/>
    </row>
    <row r="654" ht="15.75" customHeight="1">
      <c r="E654" s="1" t="n"/>
      <c r="G654" s="2" t="n"/>
    </row>
    <row r="655" ht="15.75" customHeight="1">
      <c r="E655" s="1" t="n"/>
      <c r="G655" s="2" t="n"/>
    </row>
    <row r="656" ht="15.75" customHeight="1">
      <c r="E656" s="1" t="n"/>
      <c r="G656" s="2" t="n"/>
    </row>
    <row r="657" ht="15.75" customHeight="1">
      <c r="E657" s="1" t="n"/>
      <c r="G657" s="2" t="n"/>
    </row>
    <row r="658" ht="15.75" customHeight="1">
      <c r="E658" s="1" t="n"/>
      <c r="G658" s="2" t="n"/>
    </row>
    <row r="659" ht="15.75" customHeight="1">
      <c r="E659" s="1" t="n"/>
      <c r="G659" s="2" t="n"/>
    </row>
    <row r="660" ht="15.75" customHeight="1">
      <c r="E660" s="1" t="n"/>
      <c r="G660" s="2" t="n"/>
    </row>
    <row r="661" ht="15.75" customHeight="1">
      <c r="E661" s="1" t="n"/>
      <c r="G661" s="2" t="n"/>
    </row>
    <row r="662" ht="15.75" customHeight="1">
      <c r="E662" s="1" t="n"/>
      <c r="G662" s="2" t="n"/>
    </row>
    <row r="663" ht="15.75" customHeight="1">
      <c r="E663" s="1" t="n"/>
      <c r="G663" s="2" t="n"/>
    </row>
    <row r="664" ht="15.75" customHeight="1">
      <c r="E664" s="1" t="n"/>
      <c r="G664" s="2" t="n"/>
    </row>
    <row r="665" ht="15.75" customHeight="1">
      <c r="E665" s="1" t="n"/>
      <c r="G665" s="2" t="n"/>
    </row>
    <row r="666" ht="15.75" customHeight="1">
      <c r="E666" s="1" t="n"/>
      <c r="G666" s="2" t="n"/>
    </row>
    <row r="667" ht="15.75" customHeight="1">
      <c r="E667" s="1" t="n"/>
      <c r="G667" s="2" t="n"/>
    </row>
    <row r="668" ht="15.75" customHeight="1">
      <c r="E668" s="1" t="n"/>
      <c r="G668" s="2" t="n"/>
    </row>
    <row r="669" ht="15.75" customHeight="1">
      <c r="E669" s="1" t="n"/>
      <c r="G669" s="2" t="n"/>
    </row>
    <row r="670" ht="15.75" customHeight="1">
      <c r="E670" s="1" t="n"/>
      <c r="G670" s="2" t="n"/>
    </row>
    <row r="671" ht="15.75" customHeight="1">
      <c r="E671" s="1" t="n"/>
      <c r="G671" s="2" t="n"/>
    </row>
    <row r="672" ht="15.75" customHeight="1">
      <c r="E672" s="1" t="n"/>
      <c r="G672" s="2" t="n"/>
    </row>
    <row r="673" ht="15.75" customHeight="1">
      <c r="E673" s="1" t="n"/>
      <c r="G673" s="2" t="n"/>
    </row>
    <row r="674" ht="15.75" customHeight="1">
      <c r="E674" s="1" t="n"/>
      <c r="G674" s="2" t="n"/>
    </row>
    <row r="675" ht="15.75" customHeight="1">
      <c r="E675" s="1" t="n"/>
      <c r="G675" s="2" t="n"/>
    </row>
    <row r="676" ht="15.75" customHeight="1">
      <c r="E676" s="1" t="n"/>
      <c r="G676" s="2" t="n"/>
    </row>
    <row r="677" ht="15.75" customHeight="1">
      <c r="E677" s="1" t="n"/>
      <c r="G677" s="2" t="n"/>
    </row>
    <row r="678" ht="15.75" customHeight="1">
      <c r="E678" s="1" t="n"/>
      <c r="G678" s="2" t="n"/>
    </row>
    <row r="679" ht="15.75" customHeight="1">
      <c r="E679" s="1" t="n"/>
      <c r="G679" s="2" t="n"/>
    </row>
    <row r="680" ht="15.75" customHeight="1">
      <c r="E680" s="1" t="n"/>
      <c r="G680" s="2" t="n"/>
    </row>
    <row r="681" ht="15.75" customHeight="1">
      <c r="E681" s="1" t="n"/>
      <c r="G681" s="2" t="n"/>
    </row>
    <row r="682" ht="15.75" customHeight="1">
      <c r="E682" s="1" t="n"/>
      <c r="G682" s="2" t="n"/>
    </row>
    <row r="683" ht="15.75" customHeight="1">
      <c r="E683" s="1" t="n"/>
      <c r="G683" s="2" t="n"/>
    </row>
    <row r="684" ht="15.75" customHeight="1">
      <c r="E684" s="1" t="n"/>
      <c r="G684" s="2" t="n"/>
    </row>
    <row r="685" ht="15.75" customHeight="1">
      <c r="E685" s="1" t="n"/>
      <c r="G685" s="2" t="n"/>
    </row>
    <row r="686" ht="15.75" customHeight="1">
      <c r="E686" s="1" t="n"/>
      <c r="G686" s="2" t="n"/>
    </row>
    <row r="687" ht="15.75" customHeight="1">
      <c r="E687" s="1" t="n"/>
      <c r="G687" s="2" t="n"/>
    </row>
    <row r="688" ht="15.75" customHeight="1">
      <c r="E688" s="1" t="n"/>
      <c r="G688" s="2" t="n"/>
    </row>
    <row r="689" ht="15.75" customHeight="1">
      <c r="E689" s="1" t="n"/>
      <c r="G689" s="2" t="n"/>
    </row>
    <row r="690" ht="15.75" customHeight="1">
      <c r="E690" s="1" t="n"/>
      <c r="G690" s="2" t="n"/>
    </row>
    <row r="691" ht="15.75" customHeight="1">
      <c r="E691" s="1" t="n"/>
      <c r="G691" s="2" t="n"/>
    </row>
    <row r="692" ht="15.75" customHeight="1">
      <c r="E692" s="1" t="n"/>
      <c r="G692" s="2" t="n"/>
    </row>
    <row r="693" ht="15.75" customHeight="1">
      <c r="E693" s="1" t="n"/>
      <c r="G693" s="2" t="n"/>
    </row>
    <row r="694" ht="15.75" customHeight="1">
      <c r="E694" s="1" t="n"/>
      <c r="G694" s="2" t="n"/>
    </row>
    <row r="695" ht="15.75" customHeight="1">
      <c r="E695" s="1" t="n"/>
      <c r="G695" s="2" t="n"/>
    </row>
    <row r="696" ht="15.75" customHeight="1">
      <c r="E696" s="1" t="n"/>
      <c r="G696" s="2" t="n"/>
    </row>
    <row r="697" ht="15.75" customHeight="1">
      <c r="E697" s="1" t="n"/>
      <c r="G697" s="2" t="n"/>
    </row>
    <row r="698" ht="15.75" customHeight="1">
      <c r="E698" s="1" t="n"/>
      <c r="G698" s="2" t="n"/>
    </row>
    <row r="699" ht="15.75" customHeight="1">
      <c r="E699" s="1" t="n"/>
      <c r="G699" s="2" t="n"/>
    </row>
    <row r="700" ht="15.75" customHeight="1">
      <c r="E700" s="1" t="n"/>
      <c r="G700" s="2" t="n"/>
    </row>
    <row r="701" ht="15.75" customHeight="1">
      <c r="E701" s="1" t="n"/>
      <c r="G701" s="2" t="n"/>
    </row>
    <row r="702" ht="15.75" customHeight="1">
      <c r="E702" s="1" t="n"/>
      <c r="G702" s="2" t="n"/>
    </row>
    <row r="703" ht="15.75" customHeight="1">
      <c r="E703" s="1" t="n"/>
      <c r="G703" s="2" t="n"/>
    </row>
    <row r="704" ht="15.75" customHeight="1">
      <c r="E704" s="1" t="n"/>
      <c r="G704" s="2" t="n"/>
    </row>
    <row r="705" ht="15.75" customHeight="1">
      <c r="E705" s="1" t="n"/>
      <c r="G705" s="2" t="n"/>
    </row>
    <row r="706" ht="15.75" customHeight="1">
      <c r="E706" s="1" t="n"/>
      <c r="G706" s="2" t="n"/>
    </row>
    <row r="707" ht="15.75" customHeight="1">
      <c r="E707" s="1" t="n"/>
      <c r="G707" s="2" t="n"/>
    </row>
    <row r="708" ht="15.75" customHeight="1">
      <c r="E708" s="1" t="n"/>
      <c r="G708" s="2" t="n"/>
    </row>
    <row r="709" ht="15.75" customHeight="1">
      <c r="E709" s="1" t="n"/>
      <c r="G709" s="2" t="n"/>
    </row>
    <row r="710" ht="15.75" customHeight="1">
      <c r="E710" s="1" t="n"/>
      <c r="G710" s="2" t="n"/>
    </row>
    <row r="711" ht="15.75" customHeight="1">
      <c r="E711" s="1" t="n"/>
      <c r="G711" s="2" t="n"/>
    </row>
    <row r="712" ht="15.75" customHeight="1">
      <c r="E712" s="1" t="n"/>
      <c r="G712" s="2" t="n"/>
    </row>
    <row r="713" ht="15.75" customHeight="1">
      <c r="E713" s="1" t="n"/>
      <c r="G713" s="2" t="n"/>
    </row>
    <row r="714" ht="15.75" customHeight="1">
      <c r="E714" s="1" t="n"/>
      <c r="G714" s="2" t="n"/>
    </row>
    <row r="715" ht="15.75" customHeight="1">
      <c r="E715" s="1" t="n"/>
      <c r="G715" s="2" t="n"/>
    </row>
    <row r="716" ht="15.75" customHeight="1">
      <c r="E716" s="1" t="n"/>
      <c r="G716" s="2" t="n"/>
    </row>
    <row r="717" ht="15.75" customHeight="1">
      <c r="E717" s="1" t="n"/>
      <c r="G717" s="2" t="n"/>
    </row>
    <row r="718" ht="15.75" customHeight="1">
      <c r="E718" s="1" t="n"/>
      <c r="G718" s="2" t="n"/>
    </row>
    <row r="719" ht="15.75" customHeight="1">
      <c r="E719" s="1" t="n"/>
      <c r="G719" s="2" t="n"/>
    </row>
    <row r="720" ht="15.75" customHeight="1">
      <c r="E720" s="1" t="n"/>
      <c r="G720" s="2" t="n"/>
    </row>
    <row r="721" ht="15.75" customHeight="1">
      <c r="E721" s="1" t="n"/>
      <c r="G721" s="2" t="n"/>
    </row>
    <row r="722" ht="15.75" customHeight="1">
      <c r="E722" s="1" t="n"/>
      <c r="G722" s="2" t="n"/>
    </row>
    <row r="723" ht="15.75" customHeight="1">
      <c r="E723" s="1" t="n"/>
      <c r="G723" s="2" t="n"/>
    </row>
    <row r="724" ht="15.75" customHeight="1">
      <c r="E724" s="1" t="n"/>
      <c r="G724" s="2" t="n"/>
    </row>
    <row r="725" ht="15.75" customHeight="1">
      <c r="E725" s="1" t="n"/>
      <c r="G725" s="2" t="n"/>
    </row>
    <row r="726" ht="15.75" customHeight="1">
      <c r="E726" s="1" t="n"/>
      <c r="G726" s="2" t="n"/>
    </row>
    <row r="727" ht="15.75" customHeight="1">
      <c r="E727" s="1" t="n"/>
      <c r="G727" s="2" t="n"/>
    </row>
    <row r="728" ht="15.75" customHeight="1">
      <c r="E728" s="1" t="n"/>
      <c r="G728" s="2" t="n"/>
    </row>
    <row r="729" ht="15.75" customHeight="1">
      <c r="E729" s="1" t="n"/>
      <c r="G729" s="2" t="n"/>
    </row>
    <row r="730" ht="15.75" customHeight="1">
      <c r="E730" s="1" t="n"/>
      <c r="G730" s="2" t="n"/>
    </row>
    <row r="731" ht="15.75" customHeight="1">
      <c r="E731" s="1" t="n"/>
      <c r="G731" s="2" t="n"/>
    </row>
    <row r="732" ht="15.75" customHeight="1">
      <c r="E732" s="1" t="n"/>
      <c r="G732" s="2" t="n"/>
    </row>
    <row r="733" ht="15.75" customHeight="1">
      <c r="E733" s="1" t="n"/>
      <c r="G733" s="2" t="n"/>
    </row>
    <row r="734" ht="15.75" customHeight="1">
      <c r="E734" s="1" t="n"/>
      <c r="G734" s="2" t="n"/>
    </row>
    <row r="735" ht="15.75" customHeight="1">
      <c r="E735" s="1" t="n"/>
      <c r="G735" s="2" t="n"/>
    </row>
    <row r="736" ht="15.75" customHeight="1">
      <c r="E736" s="1" t="n"/>
      <c r="G736" s="2" t="n"/>
    </row>
    <row r="737" ht="15.75" customHeight="1">
      <c r="E737" s="1" t="n"/>
      <c r="G737" s="2" t="n"/>
    </row>
    <row r="738" ht="15.75" customHeight="1">
      <c r="E738" s="1" t="n"/>
      <c r="G738" s="2" t="n"/>
    </row>
    <row r="739" ht="15.75" customHeight="1">
      <c r="E739" s="1" t="n"/>
      <c r="G739" s="2" t="n"/>
    </row>
    <row r="740" ht="15.75" customHeight="1">
      <c r="E740" s="1" t="n"/>
      <c r="G740" s="2" t="n"/>
    </row>
    <row r="741" ht="15.75" customHeight="1">
      <c r="E741" s="1" t="n"/>
      <c r="G741" s="2" t="n"/>
    </row>
    <row r="742" ht="15.75" customHeight="1">
      <c r="E742" s="1" t="n"/>
      <c r="G742" s="2" t="n"/>
    </row>
    <row r="743" ht="15.75" customHeight="1">
      <c r="E743" s="1" t="n"/>
      <c r="G743" s="2" t="n"/>
    </row>
    <row r="744" ht="15.75" customHeight="1">
      <c r="E744" s="1" t="n"/>
      <c r="G744" s="2" t="n"/>
    </row>
    <row r="745" ht="15.75" customHeight="1">
      <c r="E745" s="1" t="n"/>
      <c r="G745" s="2" t="n"/>
    </row>
    <row r="746" ht="15.75" customHeight="1">
      <c r="E746" s="1" t="n"/>
      <c r="G746" s="2" t="n"/>
    </row>
    <row r="747" ht="15.75" customHeight="1">
      <c r="E747" s="1" t="n"/>
      <c r="G747" s="2" t="n"/>
    </row>
    <row r="748" ht="15.75" customHeight="1">
      <c r="E748" s="1" t="n"/>
      <c r="G748" s="2" t="n"/>
    </row>
    <row r="749" ht="15.75" customHeight="1">
      <c r="E749" s="1" t="n"/>
      <c r="G749" s="2" t="n"/>
    </row>
    <row r="750" ht="15.75" customHeight="1">
      <c r="E750" s="1" t="n"/>
      <c r="G750" s="2" t="n"/>
    </row>
    <row r="751" ht="15.75" customHeight="1">
      <c r="E751" s="1" t="n"/>
      <c r="G751" s="2" t="n"/>
    </row>
    <row r="752" ht="15.75" customHeight="1">
      <c r="E752" s="1" t="n"/>
      <c r="G752" s="2" t="n"/>
    </row>
    <row r="753" ht="15.75" customHeight="1">
      <c r="E753" s="1" t="n"/>
      <c r="G753" s="2" t="n"/>
    </row>
    <row r="754" ht="15.75" customHeight="1">
      <c r="E754" s="1" t="n"/>
      <c r="G754" s="2" t="n"/>
    </row>
    <row r="755" ht="15.75" customHeight="1">
      <c r="E755" s="1" t="n"/>
      <c r="G755" s="2" t="n"/>
    </row>
    <row r="756" ht="15.75" customHeight="1">
      <c r="E756" s="1" t="n"/>
      <c r="G756" s="2" t="n"/>
    </row>
    <row r="757" ht="15.75" customHeight="1">
      <c r="E757" s="1" t="n"/>
      <c r="G757" s="2" t="n"/>
    </row>
    <row r="758" ht="15.75" customHeight="1">
      <c r="E758" s="1" t="n"/>
      <c r="G758" s="2" t="n"/>
    </row>
    <row r="759" ht="15.75" customHeight="1">
      <c r="E759" s="1" t="n"/>
      <c r="G759" s="2" t="n"/>
    </row>
    <row r="760" ht="15.75" customHeight="1">
      <c r="E760" s="1" t="n"/>
      <c r="G760" s="2" t="n"/>
    </row>
    <row r="761" ht="15.75" customHeight="1">
      <c r="E761" s="1" t="n"/>
      <c r="G761" s="2" t="n"/>
    </row>
    <row r="762" ht="15.75" customHeight="1">
      <c r="E762" s="1" t="n"/>
      <c r="G762" s="2" t="n"/>
    </row>
    <row r="763" ht="15.75" customHeight="1">
      <c r="E763" s="1" t="n"/>
      <c r="G763" s="2" t="n"/>
    </row>
    <row r="764" ht="15.75" customHeight="1">
      <c r="E764" s="1" t="n"/>
      <c r="G764" s="2" t="n"/>
    </row>
    <row r="765" ht="15.75" customHeight="1">
      <c r="E765" s="1" t="n"/>
      <c r="G765" s="2" t="n"/>
    </row>
    <row r="766" ht="15.75" customHeight="1">
      <c r="E766" s="1" t="n"/>
      <c r="G766" s="2" t="n"/>
    </row>
    <row r="767" ht="15.75" customHeight="1">
      <c r="E767" s="1" t="n"/>
      <c r="G767" s="2" t="n"/>
    </row>
    <row r="768" ht="15.75" customHeight="1">
      <c r="E768" s="1" t="n"/>
      <c r="G768" s="2" t="n"/>
    </row>
    <row r="769" ht="15.75" customHeight="1">
      <c r="E769" s="1" t="n"/>
      <c r="G769" s="2" t="n"/>
    </row>
    <row r="770" ht="15.75" customHeight="1">
      <c r="E770" s="1" t="n"/>
      <c r="G770" s="2" t="n"/>
    </row>
    <row r="771" ht="15.75" customHeight="1">
      <c r="E771" s="1" t="n"/>
      <c r="G771" s="2" t="n"/>
    </row>
    <row r="772" ht="15.75" customHeight="1">
      <c r="E772" s="1" t="n"/>
      <c r="G772" s="2" t="n"/>
    </row>
    <row r="773" ht="15.75" customHeight="1">
      <c r="E773" s="1" t="n"/>
      <c r="G773" s="2" t="n"/>
    </row>
    <row r="774" ht="15.75" customHeight="1">
      <c r="E774" s="1" t="n"/>
      <c r="G774" s="2" t="n"/>
    </row>
    <row r="775" ht="15.75" customHeight="1">
      <c r="E775" s="1" t="n"/>
      <c r="G775" s="2" t="n"/>
    </row>
    <row r="776" ht="15.75" customHeight="1">
      <c r="E776" s="1" t="n"/>
      <c r="G776" s="2" t="n"/>
    </row>
    <row r="777" ht="15.75" customHeight="1">
      <c r="E777" s="1" t="n"/>
      <c r="G777" s="2" t="n"/>
    </row>
    <row r="778" ht="15.75" customHeight="1">
      <c r="E778" s="1" t="n"/>
      <c r="G778" s="2" t="n"/>
    </row>
    <row r="779" ht="15.75" customHeight="1">
      <c r="E779" s="1" t="n"/>
      <c r="G779" s="2" t="n"/>
    </row>
    <row r="780" ht="15.75" customHeight="1">
      <c r="E780" s="1" t="n"/>
      <c r="G780" s="2" t="n"/>
    </row>
    <row r="781" ht="15.75" customHeight="1">
      <c r="E781" s="1" t="n"/>
      <c r="G781" s="2" t="n"/>
    </row>
    <row r="782" ht="15.75" customHeight="1">
      <c r="E782" s="1" t="n"/>
      <c r="G782" s="2" t="n"/>
    </row>
    <row r="783" ht="15.75" customHeight="1">
      <c r="E783" s="1" t="n"/>
      <c r="G783" s="2" t="n"/>
    </row>
    <row r="784" ht="15.75" customHeight="1">
      <c r="E784" s="1" t="n"/>
      <c r="G784" s="2" t="n"/>
    </row>
    <row r="785" ht="15.75" customHeight="1">
      <c r="E785" s="1" t="n"/>
      <c r="G785" s="2" t="n"/>
    </row>
    <row r="786" ht="15.75" customHeight="1">
      <c r="E786" s="1" t="n"/>
      <c r="G786" s="2" t="n"/>
    </row>
    <row r="787" ht="15.75" customHeight="1">
      <c r="E787" s="1" t="n"/>
      <c r="G787" s="2" t="n"/>
    </row>
    <row r="788" ht="15.75" customHeight="1">
      <c r="E788" s="1" t="n"/>
      <c r="G788" s="2" t="n"/>
    </row>
    <row r="789" ht="15.75" customHeight="1">
      <c r="E789" s="1" t="n"/>
      <c r="G789" s="2" t="n"/>
    </row>
    <row r="790" ht="15.75" customHeight="1">
      <c r="E790" s="1" t="n"/>
      <c r="G790" s="2" t="n"/>
    </row>
    <row r="791" ht="15.75" customHeight="1">
      <c r="E791" s="1" t="n"/>
      <c r="G791" s="2" t="n"/>
    </row>
    <row r="792" ht="15.75" customHeight="1">
      <c r="E792" s="1" t="n"/>
      <c r="G792" s="2" t="n"/>
    </row>
    <row r="793" ht="15.75" customHeight="1">
      <c r="E793" s="1" t="n"/>
      <c r="G793" s="2" t="n"/>
    </row>
    <row r="794" ht="15.75" customHeight="1">
      <c r="E794" s="1" t="n"/>
      <c r="G794" s="2" t="n"/>
    </row>
    <row r="795" ht="15.75" customHeight="1">
      <c r="E795" s="1" t="n"/>
      <c r="G795" s="2" t="n"/>
    </row>
    <row r="796" ht="15.75" customHeight="1">
      <c r="E796" s="1" t="n"/>
      <c r="G796" s="2" t="n"/>
    </row>
    <row r="797" ht="15.75" customHeight="1">
      <c r="E797" s="1" t="n"/>
      <c r="G797" s="2" t="n"/>
    </row>
    <row r="798" ht="15.75" customHeight="1">
      <c r="E798" s="1" t="n"/>
      <c r="G798" s="2" t="n"/>
    </row>
    <row r="799" ht="15.75" customHeight="1">
      <c r="E799" s="1" t="n"/>
      <c r="G799" s="2" t="n"/>
    </row>
    <row r="800" ht="15.75" customHeight="1">
      <c r="E800" s="1" t="n"/>
      <c r="G800" s="2" t="n"/>
    </row>
    <row r="801" ht="15.75" customHeight="1">
      <c r="E801" s="1" t="n"/>
      <c r="G801" s="2" t="n"/>
    </row>
    <row r="802" ht="15.75" customHeight="1">
      <c r="E802" s="1" t="n"/>
      <c r="G802" s="2" t="n"/>
    </row>
    <row r="803" ht="15.75" customHeight="1">
      <c r="E803" s="1" t="n"/>
      <c r="G803" s="2" t="n"/>
    </row>
    <row r="804" ht="15.75" customHeight="1">
      <c r="E804" s="1" t="n"/>
      <c r="G804" s="2" t="n"/>
    </row>
    <row r="805" ht="15.75" customHeight="1">
      <c r="E805" s="1" t="n"/>
      <c r="G805" s="2" t="n"/>
    </row>
    <row r="806" ht="15.75" customHeight="1">
      <c r="E806" s="1" t="n"/>
      <c r="G806" s="2" t="n"/>
    </row>
    <row r="807" ht="15.75" customHeight="1">
      <c r="E807" s="1" t="n"/>
      <c r="G807" s="2" t="n"/>
    </row>
    <row r="808" ht="15.75" customHeight="1">
      <c r="E808" s="1" t="n"/>
      <c r="G808" s="2" t="n"/>
    </row>
    <row r="809" ht="15.75" customHeight="1">
      <c r="E809" s="1" t="n"/>
      <c r="G809" s="2" t="n"/>
    </row>
    <row r="810" ht="15.75" customHeight="1">
      <c r="E810" s="1" t="n"/>
      <c r="G810" s="2" t="n"/>
    </row>
    <row r="811" ht="15.75" customHeight="1">
      <c r="E811" s="1" t="n"/>
      <c r="G811" s="2" t="n"/>
    </row>
    <row r="812" ht="15.75" customHeight="1">
      <c r="E812" s="1" t="n"/>
      <c r="G812" s="2" t="n"/>
    </row>
    <row r="813" ht="15.75" customHeight="1">
      <c r="E813" s="1" t="n"/>
      <c r="G813" s="2" t="n"/>
    </row>
    <row r="814" ht="15.75" customHeight="1">
      <c r="E814" s="1" t="n"/>
      <c r="G814" s="2" t="n"/>
    </row>
    <row r="815" ht="15.75" customHeight="1">
      <c r="E815" s="1" t="n"/>
      <c r="G815" s="2" t="n"/>
    </row>
    <row r="816" ht="15.75" customHeight="1">
      <c r="E816" s="1" t="n"/>
      <c r="G816" s="2" t="n"/>
    </row>
    <row r="817" ht="15.75" customHeight="1">
      <c r="E817" s="1" t="n"/>
      <c r="G817" s="2" t="n"/>
    </row>
    <row r="818" ht="15.75" customHeight="1">
      <c r="E818" s="1" t="n"/>
      <c r="G818" s="2" t="n"/>
    </row>
    <row r="819" ht="15.75" customHeight="1">
      <c r="E819" s="1" t="n"/>
      <c r="G819" s="2" t="n"/>
    </row>
    <row r="820" ht="15.75" customHeight="1">
      <c r="E820" s="1" t="n"/>
      <c r="G820" s="2" t="n"/>
    </row>
    <row r="821" ht="15.75" customHeight="1">
      <c r="E821" s="1" t="n"/>
      <c r="G821" s="2" t="n"/>
    </row>
    <row r="822" ht="15.75" customHeight="1">
      <c r="E822" s="1" t="n"/>
      <c r="G822" s="2" t="n"/>
    </row>
    <row r="823" ht="15.75" customHeight="1">
      <c r="E823" s="1" t="n"/>
      <c r="G823" s="2" t="n"/>
    </row>
    <row r="824" ht="15.75" customHeight="1">
      <c r="E824" s="1" t="n"/>
      <c r="G824" s="2" t="n"/>
    </row>
    <row r="825" ht="15.75" customHeight="1">
      <c r="E825" s="1" t="n"/>
      <c r="G825" s="2" t="n"/>
    </row>
    <row r="826" ht="15.75" customHeight="1">
      <c r="E826" s="1" t="n"/>
      <c r="G826" s="2" t="n"/>
    </row>
    <row r="827" ht="15.75" customHeight="1">
      <c r="E827" s="1" t="n"/>
      <c r="G827" s="2" t="n"/>
    </row>
    <row r="828" ht="15.75" customHeight="1">
      <c r="E828" s="1" t="n"/>
      <c r="G828" s="2" t="n"/>
    </row>
    <row r="829" ht="15.75" customHeight="1">
      <c r="E829" s="1" t="n"/>
      <c r="G829" s="2" t="n"/>
    </row>
    <row r="830" ht="15.75" customHeight="1">
      <c r="E830" s="1" t="n"/>
      <c r="G830" s="2" t="n"/>
    </row>
    <row r="831" ht="15.75" customHeight="1">
      <c r="E831" s="1" t="n"/>
      <c r="G831" s="2" t="n"/>
    </row>
    <row r="832" ht="15.75" customHeight="1">
      <c r="E832" s="1" t="n"/>
      <c r="G832" s="2" t="n"/>
    </row>
    <row r="833" ht="15.75" customHeight="1">
      <c r="E833" s="1" t="n"/>
      <c r="G833" s="2" t="n"/>
    </row>
    <row r="834" ht="15.75" customHeight="1">
      <c r="E834" s="1" t="n"/>
      <c r="G834" s="2" t="n"/>
    </row>
    <row r="835" ht="15.75" customHeight="1">
      <c r="E835" s="1" t="n"/>
      <c r="G835" s="2" t="n"/>
    </row>
    <row r="836" ht="15.75" customHeight="1">
      <c r="E836" s="1" t="n"/>
      <c r="G836" s="2" t="n"/>
    </row>
    <row r="837" ht="15.75" customHeight="1">
      <c r="E837" s="1" t="n"/>
      <c r="G837" s="2" t="n"/>
    </row>
    <row r="838" ht="15.75" customHeight="1">
      <c r="E838" s="1" t="n"/>
      <c r="G838" s="2" t="n"/>
    </row>
    <row r="839" ht="15.75" customHeight="1">
      <c r="E839" s="1" t="n"/>
      <c r="G839" s="2" t="n"/>
    </row>
    <row r="840" ht="15.75" customHeight="1">
      <c r="E840" s="1" t="n"/>
      <c r="G840" s="2" t="n"/>
    </row>
    <row r="841" ht="15.75" customHeight="1">
      <c r="E841" s="1" t="n"/>
      <c r="G841" s="2" t="n"/>
    </row>
    <row r="842" ht="15.75" customHeight="1">
      <c r="E842" s="1" t="n"/>
      <c r="G842" s="2" t="n"/>
    </row>
    <row r="843" ht="15.75" customHeight="1">
      <c r="E843" s="1" t="n"/>
      <c r="G843" s="2" t="n"/>
    </row>
    <row r="844" ht="15.75" customHeight="1">
      <c r="E844" s="1" t="n"/>
      <c r="G844" s="2" t="n"/>
    </row>
    <row r="845" ht="15.75" customHeight="1">
      <c r="E845" s="1" t="n"/>
      <c r="G845" s="2" t="n"/>
    </row>
    <row r="846" ht="15.75" customHeight="1">
      <c r="E846" s="1" t="n"/>
      <c r="G846" s="2" t="n"/>
    </row>
    <row r="847" ht="15.75" customHeight="1">
      <c r="E847" s="1" t="n"/>
      <c r="G847" s="2" t="n"/>
    </row>
    <row r="848" ht="15.75" customHeight="1">
      <c r="E848" s="1" t="n"/>
      <c r="G848" s="2" t="n"/>
    </row>
    <row r="849" ht="15.75" customHeight="1">
      <c r="E849" s="1" t="n"/>
      <c r="G849" s="2" t="n"/>
    </row>
    <row r="850" ht="15.75" customHeight="1">
      <c r="E850" s="1" t="n"/>
      <c r="G850" s="2" t="n"/>
    </row>
    <row r="851" ht="15.75" customHeight="1">
      <c r="E851" s="1" t="n"/>
      <c r="G851" s="2" t="n"/>
    </row>
    <row r="852" ht="15.75" customHeight="1">
      <c r="E852" s="1" t="n"/>
      <c r="G852" s="2" t="n"/>
    </row>
    <row r="853" ht="15.75" customHeight="1">
      <c r="E853" s="1" t="n"/>
      <c r="G853" s="2" t="n"/>
    </row>
    <row r="854" ht="15.75" customHeight="1">
      <c r="E854" s="1" t="n"/>
      <c r="G854" s="2" t="n"/>
    </row>
    <row r="855" ht="15.75" customHeight="1">
      <c r="E855" s="1" t="n"/>
      <c r="G855" s="2" t="n"/>
    </row>
    <row r="856" ht="15.75" customHeight="1">
      <c r="E856" s="1" t="n"/>
      <c r="G856" s="2" t="n"/>
    </row>
    <row r="857" ht="15.75" customHeight="1">
      <c r="E857" s="1" t="n"/>
      <c r="G857" s="2" t="n"/>
    </row>
    <row r="858" ht="15.75" customHeight="1">
      <c r="E858" s="1" t="n"/>
      <c r="G858" s="2" t="n"/>
    </row>
    <row r="859" ht="15.75" customHeight="1">
      <c r="E859" s="1" t="n"/>
      <c r="G859" s="2" t="n"/>
    </row>
    <row r="860" ht="15.75" customHeight="1">
      <c r="E860" s="1" t="n"/>
      <c r="G860" s="2" t="n"/>
    </row>
    <row r="861" ht="15.75" customHeight="1">
      <c r="E861" s="1" t="n"/>
      <c r="G861" s="2" t="n"/>
    </row>
    <row r="862" ht="15.75" customHeight="1">
      <c r="E862" s="1" t="n"/>
      <c r="G862" s="2" t="n"/>
    </row>
    <row r="863" ht="15.75" customHeight="1">
      <c r="E863" s="1" t="n"/>
      <c r="G863" s="2" t="n"/>
    </row>
    <row r="864" ht="15.75" customHeight="1">
      <c r="E864" s="1" t="n"/>
      <c r="G864" s="2" t="n"/>
    </row>
    <row r="865" ht="15.75" customHeight="1">
      <c r="E865" s="1" t="n"/>
      <c r="G865" s="2" t="n"/>
    </row>
    <row r="866" ht="15.75" customHeight="1">
      <c r="E866" s="1" t="n"/>
      <c r="G866" s="2" t="n"/>
    </row>
    <row r="867" ht="15.75" customHeight="1">
      <c r="E867" s="1" t="n"/>
      <c r="G867" s="2" t="n"/>
    </row>
    <row r="868" ht="15.75" customHeight="1">
      <c r="E868" s="1" t="n"/>
      <c r="G868" s="2" t="n"/>
    </row>
    <row r="869" ht="15.75" customHeight="1">
      <c r="E869" s="1" t="n"/>
      <c r="G869" s="2" t="n"/>
    </row>
    <row r="870" ht="15.75" customHeight="1">
      <c r="E870" s="1" t="n"/>
      <c r="G870" s="2" t="n"/>
    </row>
    <row r="871" ht="15.75" customHeight="1">
      <c r="E871" s="1" t="n"/>
      <c r="G871" s="2" t="n"/>
    </row>
    <row r="872" ht="15.75" customHeight="1">
      <c r="E872" s="1" t="n"/>
      <c r="G872" s="2" t="n"/>
    </row>
    <row r="873" ht="15.75" customHeight="1">
      <c r="E873" s="1" t="n"/>
      <c r="G873" s="2" t="n"/>
    </row>
    <row r="874" ht="15.75" customHeight="1">
      <c r="E874" s="1" t="n"/>
      <c r="G874" s="2" t="n"/>
    </row>
    <row r="875" ht="15.75" customHeight="1">
      <c r="E875" s="1" t="n"/>
      <c r="G875" s="2" t="n"/>
    </row>
    <row r="876" ht="15.75" customHeight="1">
      <c r="E876" s="1" t="n"/>
      <c r="G876" s="2" t="n"/>
    </row>
    <row r="877" ht="15.75" customHeight="1">
      <c r="E877" s="1" t="n"/>
      <c r="G877" s="2" t="n"/>
    </row>
    <row r="878" ht="15.75" customHeight="1">
      <c r="E878" s="1" t="n"/>
      <c r="G878" s="2" t="n"/>
    </row>
    <row r="879" ht="15.75" customHeight="1">
      <c r="E879" s="1" t="n"/>
      <c r="G879" s="2" t="n"/>
    </row>
    <row r="880" ht="15.75" customHeight="1">
      <c r="E880" s="1" t="n"/>
      <c r="G880" s="2" t="n"/>
    </row>
    <row r="881" ht="15.75" customHeight="1">
      <c r="E881" s="1" t="n"/>
      <c r="G881" s="2" t="n"/>
    </row>
    <row r="882" ht="15.75" customHeight="1">
      <c r="E882" s="1" t="n"/>
      <c r="G882" s="2" t="n"/>
    </row>
    <row r="883" ht="15.75" customHeight="1">
      <c r="E883" s="1" t="n"/>
      <c r="G883" s="2" t="n"/>
    </row>
    <row r="884" ht="15.75" customHeight="1">
      <c r="E884" s="1" t="n"/>
      <c r="G884" s="2" t="n"/>
    </row>
    <row r="885" ht="15.75" customHeight="1">
      <c r="E885" s="1" t="n"/>
      <c r="G885" s="2" t="n"/>
    </row>
    <row r="886" ht="15.75" customHeight="1">
      <c r="E886" s="1" t="n"/>
      <c r="G886" s="2" t="n"/>
    </row>
    <row r="887" ht="15.75" customHeight="1">
      <c r="E887" s="1" t="n"/>
      <c r="G887" s="2" t="n"/>
    </row>
    <row r="888" ht="15.75" customHeight="1">
      <c r="E888" s="1" t="n"/>
      <c r="G888" s="2" t="n"/>
    </row>
    <row r="889" ht="15.75" customHeight="1">
      <c r="E889" s="1" t="n"/>
      <c r="G889" s="2" t="n"/>
    </row>
    <row r="890" ht="15.75" customHeight="1">
      <c r="E890" s="1" t="n"/>
      <c r="G890" s="2" t="n"/>
    </row>
    <row r="891" ht="15.75" customHeight="1">
      <c r="E891" s="1" t="n"/>
      <c r="G891" s="2" t="n"/>
    </row>
    <row r="892" ht="15.75" customHeight="1">
      <c r="E892" s="1" t="n"/>
      <c r="G892" s="2" t="n"/>
    </row>
    <row r="893" ht="15.75" customHeight="1">
      <c r="E893" s="1" t="n"/>
      <c r="G893" s="2" t="n"/>
    </row>
    <row r="894" ht="15.75" customHeight="1">
      <c r="E894" s="1" t="n"/>
      <c r="G894" s="2" t="n"/>
    </row>
    <row r="895" ht="15.75" customHeight="1">
      <c r="E895" s="1" t="n"/>
      <c r="G895" s="2" t="n"/>
    </row>
    <row r="896" ht="15.75" customHeight="1">
      <c r="E896" s="1" t="n"/>
      <c r="G896" s="2" t="n"/>
    </row>
    <row r="897" ht="15.75" customHeight="1">
      <c r="E897" s="1" t="n"/>
      <c r="G897" s="2" t="n"/>
    </row>
    <row r="898" ht="15.75" customHeight="1">
      <c r="E898" s="1" t="n"/>
      <c r="G898" s="2" t="n"/>
    </row>
    <row r="899" ht="15.75" customHeight="1">
      <c r="E899" s="1" t="n"/>
      <c r="G899" s="2" t="n"/>
    </row>
    <row r="900" ht="15.75" customHeight="1">
      <c r="E900" s="1" t="n"/>
      <c r="G900" s="2" t="n"/>
    </row>
    <row r="901" ht="15.75" customHeight="1">
      <c r="E901" s="1" t="n"/>
      <c r="G901" s="2" t="n"/>
    </row>
    <row r="902" ht="15.75" customHeight="1">
      <c r="E902" s="1" t="n"/>
      <c r="G902" s="2" t="n"/>
    </row>
    <row r="903" ht="15.75" customHeight="1">
      <c r="E903" s="1" t="n"/>
      <c r="G903" s="2" t="n"/>
    </row>
    <row r="904" ht="15.75" customHeight="1">
      <c r="E904" s="1" t="n"/>
      <c r="G904" s="2" t="n"/>
    </row>
    <row r="905" ht="15.75" customHeight="1">
      <c r="E905" s="1" t="n"/>
      <c r="G905" s="2" t="n"/>
    </row>
    <row r="906" ht="15.75" customHeight="1">
      <c r="E906" s="1" t="n"/>
      <c r="G906" s="2" t="n"/>
    </row>
    <row r="907" ht="15.75" customHeight="1">
      <c r="E907" s="1" t="n"/>
      <c r="G907" s="2" t="n"/>
    </row>
    <row r="908" ht="15.75" customHeight="1">
      <c r="E908" s="1" t="n"/>
      <c r="G908" s="2" t="n"/>
    </row>
    <row r="909" ht="15.75" customHeight="1">
      <c r="E909" s="1" t="n"/>
      <c r="G909" s="2" t="n"/>
    </row>
    <row r="910" ht="15.75" customHeight="1">
      <c r="E910" s="1" t="n"/>
      <c r="G910" s="2" t="n"/>
    </row>
    <row r="911" ht="15.75" customHeight="1">
      <c r="E911" s="1" t="n"/>
      <c r="G911" s="2" t="n"/>
    </row>
    <row r="912" ht="15.75" customHeight="1">
      <c r="E912" s="1" t="n"/>
      <c r="G912" s="2" t="n"/>
    </row>
    <row r="913" ht="15.75" customHeight="1">
      <c r="E913" s="1" t="n"/>
      <c r="G913" s="2" t="n"/>
    </row>
    <row r="914" ht="15.75" customHeight="1">
      <c r="E914" s="1" t="n"/>
      <c r="G914" s="2" t="n"/>
    </row>
    <row r="915" ht="15.75" customHeight="1">
      <c r="E915" s="1" t="n"/>
      <c r="G915" s="2" t="n"/>
    </row>
    <row r="916" ht="15.75" customHeight="1">
      <c r="E916" s="1" t="n"/>
      <c r="G916" s="2" t="n"/>
    </row>
    <row r="917" ht="15.75" customHeight="1">
      <c r="E917" s="1" t="n"/>
      <c r="G917" s="2" t="n"/>
    </row>
    <row r="918" ht="15.75" customHeight="1">
      <c r="E918" s="1" t="n"/>
      <c r="G918" s="2" t="n"/>
    </row>
    <row r="919" ht="15.75" customHeight="1">
      <c r="E919" s="1" t="n"/>
      <c r="G919" s="2" t="n"/>
    </row>
    <row r="920" ht="15.75" customHeight="1">
      <c r="E920" s="1" t="n"/>
      <c r="G920" s="2" t="n"/>
    </row>
    <row r="921" ht="15.75" customHeight="1">
      <c r="E921" s="1" t="n"/>
      <c r="G921" s="2" t="n"/>
    </row>
    <row r="922" ht="15.75" customHeight="1">
      <c r="E922" s="1" t="n"/>
      <c r="G922" s="2" t="n"/>
    </row>
    <row r="923" ht="15.75" customHeight="1">
      <c r="E923" s="1" t="n"/>
      <c r="G923" s="2" t="n"/>
    </row>
    <row r="924" ht="15.75" customHeight="1">
      <c r="E924" s="1" t="n"/>
      <c r="G924" s="2" t="n"/>
    </row>
    <row r="925" ht="15.75" customHeight="1">
      <c r="E925" s="1" t="n"/>
      <c r="G925" s="2" t="n"/>
    </row>
    <row r="926" ht="15.75" customHeight="1">
      <c r="E926" s="1" t="n"/>
      <c r="G926" s="2" t="n"/>
    </row>
    <row r="927" ht="15.75" customHeight="1">
      <c r="E927" s="1" t="n"/>
      <c r="G927" s="2" t="n"/>
    </row>
    <row r="928" ht="15.75" customHeight="1">
      <c r="E928" s="1" t="n"/>
      <c r="G928" s="2" t="n"/>
    </row>
    <row r="929" ht="15.75" customHeight="1">
      <c r="E929" s="1" t="n"/>
      <c r="G929" s="2" t="n"/>
    </row>
    <row r="930" ht="15.75" customHeight="1">
      <c r="E930" s="1" t="n"/>
      <c r="G930" s="2" t="n"/>
    </row>
    <row r="931" ht="15.75" customHeight="1">
      <c r="E931" s="1" t="n"/>
      <c r="G931" s="2" t="n"/>
    </row>
    <row r="932" ht="15.75" customHeight="1">
      <c r="E932" s="1" t="n"/>
      <c r="G932" s="2" t="n"/>
    </row>
    <row r="933" ht="15.75" customHeight="1">
      <c r="E933" s="1" t="n"/>
      <c r="G933" s="2" t="n"/>
    </row>
    <row r="934" ht="15.75" customHeight="1">
      <c r="E934" s="1" t="n"/>
      <c r="G934" s="2" t="n"/>
    </row>
    <row r="935" ht="15.75" customHeight="1">
      <c r="E935" s="1" t="n"/>
      <c r="G935" s="2" t="n"/>
    </row>
    <row r="936" ht="15.75" customHeight="1">
      <c r="E936" s="1" t="n"/>
      <c r="G936" s="2" t="n"/>
    </row>
    <row r="937" ht="15.75" customHeight="1">
      <c r="E937" s="1" t="n"/>
      <c r="G937" s="2" t="n"/>
    </row>
    <row r="938" ht="15.75" customHeight="1">
      <c r="E938" s="1" t="n"/>
      <c r="G938" s="2" t="n"/>
    </row>
    <row r="939" ht="15.75" customHeight="1">
      <c r="E939" s="1" t="n"/>
      <c r="G939" s="2" t="n"/>
    </row>
    <row r="940" ht="15.75" customHeight="1">
      <c r="E940" s="1" t="n"/>
      <c r="G940" s="2" t="n"/>
    </row>
    <row r="941" ht="15.75" customHeight="1">
      <c r="E941" s="1" t="n"/>
      <c r="G941" s="2" t="n"/>
    </row>
    <row r="942" ht="15.75" customHeight="1">
      <c r="E942" s="1" t="n"/>
      <c r="G942" s="2" t="n"/>
    </row>
    <row r="943" ht="15.75" customHeight="1">
      <c r="E943" s="1" t="n"/>
      <c r="G943" s="2" t="n"/>
    </row>
    <row r="944" ht="15.75" customHeight="1">
      <c r="E944" s="1" t="n"/>
      <c r="G944" s="2" t="n"/>
    </row>
    <row r="945" ht="15.75" customHeight="1">
      <c r="E945" s="1" t="n"/>
      <c r="G945" s="2" t="n"/>
    </row>
    <row r="946" ht="15.75" customHeight="1">
      <c r="E946" s="1" t="n"/>
      <c r="G946" s="2" t="n"/>
    </row>
    <row r="947" ht="15.75" customHeight="1">
      <c r="E947" s="1" t="n"/>
      <c r="G947" s="2" t="n"/>
    </row>
    <row r="948" ht="15.75" customHeight="1">
      <c r="E948" s="1" t="n"/>
      <c r="G948" s="2" t="n"/>
    </row>
    <row r="949" ht="15.75" customHeight="1">
      <c r="E949" s="1" t="n"/>
      <c r="G949" s="2" t="n"/>
    </row>
    <row r="950" ht="15.75" customHeight="1">
      <c r="E950" s="1" t="n"/>
      <c r="G950" s="2" t="n"/>
    </row>
    <row r="951" ht="15.75" customHeight="1">
      <c r="E951" s="1" t="n"/>
      <c r="G951" s="2" t="n"/>
    </row>
    <row r="952" ht="15.75" customHeight="1">
      <c r="E952" s="1" t="n"/>
      <c r="G952" s="2" t="n"/>
    </row>
    <row r="953" ht="15.75" customHeight="1">
      <c r="E953" s="1" t="n"/>
      <c r="G953" s="2" t="n"/>
    </row>
    <row r="954" ht="15.75" customHeight="1">
      <c r="E954" s="1" t="n"/>
      <c r="G954" s="2" t="n"/>
    </row>
    <row r="955" ht="15.75" customHeight="1">
      <c r="E955" s="1" t="n"/>
      <c r="G955" s="2" t="n"/>
    </row>
    <row r="956" ht="15.75" customHeight="1">
      <c r="E956" s="1" t="n"/>
      <c r="G956" s="2" t="n"/>
    </row>
    <row r="957" ht="15.75" customHeight="1">
      <c r="E957" s="1" t="n"/>
      <c r="G957" s="2" t="n"/>
    </row>
    <row r="958" ht="15.75" customHeight="1">
      <c r="E958" s="1" t="n"/>
      <c r="G958" s="2" t="n"/>
    </row>
    <row r="959" ht="15.75" customHeight="1">
      <c r="E959" s="1" t="n"/>
      <c r="G959" s="2" t="n"/>
    </row>
    <row r="960" ht="15.75" customHeight="1">
      <c r="E960" s="1" t="n"/>
      <c r="G960" s="2" t="n"/>
    </row>
    <row r="961" ht="15.75" customHeight="1">
      <c r="E961" s="1" t="n"/>
      <c r="G961" s="2" t="n"/>
    </row>
    <row r="962" ht="15.75" customHeight="1">
      <c r="E962" s="1" t="n"/>
      <c r="G962" s="2" t="n"/>
    </row>
    <row r="963" ht="15.75" customHeight="1">
      <c r="E963" s="1" t="n"/>
      <c r="G963" s="2" t="n"/>
    </row>
    <row r="964" ht="15.75" customHeight="1">
      <c r="E964" s="1" t="n"/>
      <c r="G964" s="2" t="n"/>
    </row>
    <row r="965" ht="15.75" customHeight="1">
      <c r="E965" s="1" t="n"/>
      <c r="G965" s="2" t="n"/>
    </row>
    <row r="966" ht="15.75" customHeight="1">
      <c r="E966" s="1" t="n"/>
      <c r="G966" s="2" t="n"/>
    </row>
    <row r="967" ht="15.75" customHeight="1">
      <c r="E967" s="1" t="n"/>
      <c r="G967" s="2" t="n"/>
    </row>
    <row r="968" ht="15.75" customHeight="1">
      <c r="E968" s="1" t="n"/>
      <c r="G968" s="2" t="n"/>
    </row>
    <row r="969" ht="15.75" customHeight="1">
      <c r="E969" s="1" t="n"/>
      <c r="G969" s="2" t="n"/>
    </row>
    <row r="970" ht="15.75" customHeight="1">
      <c r="E970" s="1" t="n"/>
      <c r="G970" s="2" t="n"/>
    </row>
    <row r="971" ht="15.75" customHeight="1">
      <c r="E971" s="1" t="n"/>
      <c r="G971" s="2" t="n"/>
    </row>
    <row r="972" ht="15.75" customHeight="1">
      <c r="E972" s="1" t="n"/>
      <c r="G972" s="2" t="n"/>
    </row>
    <row r="973" ht="15.75" customHeight="1">
      <c r="E973" s="1" t="n"/>
      <c r="G973" s="2" t="n"/>
    </row>
    <row r="974" ht="15.75" customHeight="1">
      <c r="E974" s="1" t="n"/>
      <c r="G974" s="2" t="n"/>
    </row>
    <row r="975" ht="15.75" customHeight="1">
      <c r="E975" s="1" t="n"/>
      <c r="G975" s="2" t="n"/>
    </row>
    <row r="976" ht="15.75" customHeight="1">
      <c r="E976" s="1" t="n"/>
      <c r="G976" s="2" t="n"/>
    </row>
    <row r="977" ht="15.75" customHeight="1">
      <c r="E977" s="1" t="n"/>
      <c r="G977" s="2" t="n"/>
    </row>
    <row r="978" ht="15.75" customHeight="1">
      <c r="E978" s="1" t="n"/>
      <c r="G978" s="2" t="n"/>
    </row>
    <row r="979" ht="15.75" customHeight="1">
      <c r="E979" s="1" t="n"/>
      <c r="G979" s="2" t="n"/>
    </row>
    <row r="980" ht="15.75" customHeight="1">
      <c r="E980" s="1" t="n"/>
      <c r="G980" s="2" t="n"/>
    </row>
    <row r="981" ht="15.75" customHeight="1">
      <c r="E981" s="1" t="n"/>
      <c r="G981" s="2" t="n"/>
    </row>
    <row r="982" ht="15.75" customHeight="1">
      <c r="E982" s="1" t="n"/>
      <c r="G982" s="2" t="n"/>
    </row>
    <row r="983" ht="15.75" customHeight="1">
      <c r="E983" s="1" t="n"/>
      <c r="G983" s="2" t="n"/>
    </row>
    <row r="984" ht="15.75" customHeight="1">
      <c r="E984" s="1" t="n"/>
      <c r="G984" s="2" t="n"/>
    </row>
    <row r="985" ht="15.75" customHeight="1">
      <c r="E985" s="1" t="n"/>
      <c r="G985" s="2" t="n"/>
    </row>
    <row r="986" ht="15.75" customHeight="1">
      <c r="E986" s="1" t="n"/>
      <c r="G986" s="2" t="n"/>
    </row>
    <row r="987" ht="15.75" customHeight="1">
      <c r="E987" s="1" t="n"/>
      <c r="G987" s="2" t="n"/>
    </row>
    <row r="988" ht="15.75" customHeight="1">
      <c r="E988" s="1" t="n"/>
      <c r="G988" s="2" t="n"/>
    </row>
    <row r="989" ht="15.75" customHeight="1">
      <c r="E989" s="1" t="n"/>
      <c r="G989" s="2" t="n"/>
    </row>
    <row r="990" ht="15.75" customHeight="1">
      <c r="E990" s="1" t="n"/>
      <c r="G990" s="2" t="n"/>
    </row>
    <row r="991" ht="15.75" customHeight="1">
      <c r="E991" s="1" t="n"/>
      <c r="G991" s="2" t="n"/>
    </row>
    <row r="992" ht="15.75" customHeight="1">
      <c r="E992" s="1" t="n"/>
      <c r="G992" s="2" t="n"/>
    </row>
    <row r="993" ht="15.75" customHeight="1">
      <c r="E993" s="1" t="n"/>
      <c r="G993" s="2" t="n"/>
    </row>
    <row r="994" ht="15.75" customHeight="1">
      <c r="E994" s="1" t="n"/>
      <c r="G994" s="2" t="n"/>
    </row>
    <row r="995" ht="15.75" customHeight="1">
      <c r="E995" s="1" t="n"/>
      <c r="G995" s="2" t="n"/>
    </row>
    <row r="996" ht="15.75" customHeight="1">
      <c r="E996" s="1" t="n"/>
      <c r="G996" s="2" t="n"/>
    </row>
    <row r="997" ht="15.75" customHeight="1">
      <c r="E997" s="1" t="n"/>
      <c r="G997" s="2" t="n"/>
    </row>
    <row r="998" ht="15.75" customHeight="1">
      <c r="E998" s="1" t="n"/>
      <c r="G998" s="2" t="n"/>
    </row>
    <row r="999" ht="15.75" customHeight="1">
      <c r="E999" s="1" t="n"/>
      <c r="G999" s="2" t="n"/>
    </row>
    <row r="1000" ht="15.75" customHeight="1">
      <c r="E1000" s="1" t="n"/>
      <c r="G1000" s="2" t="n"/>
    </row>
    <row r="1001" ht="15.75" customHeight="1">
      <c r="E1001" s="1" t="n"/>
      <c r="G1001" s="2" t="n"/>
    </row>
  </sheetData>
  <mergeCells count="17">
    <mergeCell ref="A4:B4"/>
    <mergeCell ref="A29:I29"/>
    <mergeCell ref="E4:F4"/>
    <mergeCell ref="A25:I25"/>
    <mergeCell ref="A2:I2"/>
    <mergeCell ref="A19:I19"/>
    <mergeCell ref="A33:I33"/>
    <mergeCell ref="A37:I37"/>
    <mergeCell ref="C5:D5"/>
    <mergeCell ref="A5:B5"/>
    <mergeCell ref="A1:I1"/>
    <mergeCell ref="E5:F5"/>
    <mergeCell ref="H5:I5"/>
    <mergeCell ref="A8:I8"/>
    <mergeCell ref="H4:I4"/>
    <mergeCell ref="A12:I12"/>
    <mergeCell ref="C4:D4"/>
  </mergeCells>
  <dataValidations count="3">
    <dataValidation sqref="G3 G6:G7 G9:G11 G13:G18 G20:G24 G26:G28 G30:G32 G34:G36 G38:G1001" showDropDown="0" showInputMessage="0" showErrorMessage="1" allowBlank="1" type="list">
      <formula1>"ĐANG TRIỂN KHAI,HOÀN THÀNH,KẾ HOẠCH TIẾP"</formula1>
    </dataValidation>
    <dataValidation sqref="E3 E6:E7 E9:E11 E13:E18 E21:E24 E26:E28 E30:E32 E34:E36 E38:E1001" showDropDown="0" showInputMessage="0" showErrorMessage="1" allowBlank="1" type="list">
      <formula1>"Nguyễn Hữu Đức Anh (AI Lead),Lê Việt Anh,Phạm Hoàng Duy Linh,All"</formula1>
    </dataValidation>
    <dataValidation sqref="E20" showDropDown="0" showInputMessage="0" showErrorMessage="1" allowBlank="1" type="list">
      <formula1>"Nguyễn Hữu Đức Anh,Lê Việt Anh,Phạm Hoàng Duy Linh,All"</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I76"/>
  <sheetViews>
    <sheetView showGridLines="1" workbookViewId="0">
      <selection activeCell="A1" sqref="A1"/>
    </sheetView>
  </sheetViews>
  <sheetFormatPr baseColWidth="8" defaultRowHeight="15"/>
  <cols>
    <col width="7" customWidth="1" min="1" max="1"/>
    <col width="28" customWidth="1" min="2" max="2"/>
    <col width="42" customWidth="1" min="3" max="3"/>
    <col width="42" customWidth="1" min="4" max="4"/>
    <col width="18" customWidth="1" min="5" max="5"/>
    <col width="14" customWidth="1" min="6" max="6"/>
    <col width="18" customWidth="1" min="7" max="7"/>
    <col width="14" customWidth="1" min="8" max="8"/>
    <col width="38" customWidth="1" min="9" max="9"/>
  </cols>
  <sheetData>
    <row r="1" ht="28" customHeight="1">
      <c r="A1" s="57" t="inlineStr">
        <is>
          <t>DỰ ÁN AERO - KẾ HOẠCH RÀ SOÁT, TÁI CẤU TRÚC KINH TẾ &amp; TÀI CHÍNH THƯƠNG MẠI HÓA</t>
        </is>
      </c>
    </row>
    <row r="2" ht="20" customHeight="1">
      <c r="A2" s="58" t="inlineStr">
        <is>
          <t>Căn cứ Đề án Sáng tạo trẻ 2026 (Mục 5.1 - 5.5 &amp; Mục 1.3 - 1.4) | Danh mục chi tiết các điểm bất hợp lý cần sửa &amp; mô hình định lượng chuẩn hóa</t>
        </is>
      </c>
    </row>
    <row r="3" ht="8" customHeight="1"/>
    <row r="4" ht="18" customHeight="1">
      <c r="A4" s="59" t="inlineStr">
        <is>
          <t>NHU CẦU GỌI VỐN SEED</t>
        </is>
      </c>
      <c r="C4" s="59" t="inlineStr">
        <is>
          <t>DOANH THU DỰ PHÓNG NĂM 1-3</t>
        </is>
      </c>
      <c r="E4" s="59" t="inlineStr">
        <is>
          <t>ĐIỂM HÒA VỐN DỰ KIẾN</t>
        </is>
      </c>
      <c r="G4" s="60" t="inlineStr">
        <is>
          <t>THỊ TRƯỜNG SOM (NĂM 3)</t>
        </is>
      </c>
      <c r="H4" s="59" t="inlineStr">
        <is>
          <t>TIẾN ĐỘ RÀ SOÁT ĐỀ ÁN</t>
        </is>
      </c>
    </row>
    <row r="5" ht="26" customHeight="1">
      <c r="A5" s="61" t="inlineStr">
        <is>
          <t>2,5 TỶ VNĐ</t>
        </is>
      </c>
      <c r="C5" s="61" t="inlineStr">
        <is>
          <t>380Tr → 1,94Tỷ → 5,36Tỷ</t>
        </is>
      </c>
      <c r="E5" s="61" t="inlineStr">
        <is>
          <t>Đầu Năm 3 (Tháng 25)</t>
        </is>
      </c>
      <c r="G5" s="62" t="inlineStr">
        <is>
          <t>3,8 – 5,4 TỶ VNĐ</t>
        </is>
      </c>
      <c r="H5" s="61" t="inlineStr">
        <is>
          <t>16 Hạng mục (9 Rất cao)</t>
        </is>
      </c>
    </row>
    <row r="6" ht="10" customHeight="1"/>
    <row r="7" ht="32" customHeight="1">
      <c r="A7" s="63" t="inlineStr">
        <is>
          <t>STT</t>
        </is>
      </c>
      <c r="B7" s="63" t="inlineStr">
        <is>
          <t>Phân hệ / Đầu mục Đề án cần sửa</t>
        </is>
      </c>
      <c r="C7" s="63" t="inlineStr">
        <is>
          <t>Vấn đề bất hợp lý hiện tại &amp; Nguyên nhân cần sửa</t>
        </is>
      </c>
      <c r="D7" s="63" t="inlineStr">
        <is>
          <t>Phương án sửa đổi &amp; Số liệu định lượng chuẩn hóa</t>
        </is>
      </c>
      <c r="E7" s="63" t="inlineStr">
        <is>
          <t>Nhân sự phụ trách</t>
        </is>
      </c>
      <c r="F7" s="63" t="inlineStr">
        <is>
          <t>Hạn sửa</t>
        </is>
      </c>
      <c r="G7" s="63" t="inlineStr">
        <is>
          <t>Trạng thái</t>
        </is>
      </c>
      <c r="H7" s="63" t="inlineStr">
        <is>
          <t>Mức ưu tiên</t>
        </is>
      </c>
      <c r="I7" s="63" t="inlineStr">
        <is>
          <t>Sản phẩm đầu ra (Deliverables) &amp; Vị trí Đề án</t>
        </is>
      </c>
    </row>
    <row r="8" ht="25" customHeight="1">
      <c r="A8" s="64" t="inlineStr">
        <is>
          <t>▶ 1. CHUẨN HÓA QUY MÔ THỊ TRƯỜNG &amp; KHẢO SÁT KHÁCH HÀNG (MỤC 5.1 ĐỀ ÁN)</t>
        </is>
      </c>
      <c r="B8" s="65" t="n"/>
      <c r="C8" s="65" t="n"/>
      <c r="D8" s="65" t="n"/>
      <c r="E8" s="65" t="n"/>
      <c r="F8" s="65" t="n"/>
      <c r="G8" s="65" t="n"/>
      <c r="H8" s="65" t="n"/>
      <c r="I8" s="65" t="n"/>
    </row>
    <row r="9" ht="42" customHeight="1">
      <c r="A9" s="66" t="inlineStr">
        <is>
          <t>1.1</t>
        </is>
      </c>
      <c r="B9" s="67" t="inlineStr">
        <is>
          <t>Mâu thuẫn số liệu TAM - SAM - SOM</t>
        </is>
      </c>
      <c r="C9" s="68" t="inlineStr">
        <is>
          <t>Excel ghi TAM 3.500 tỷ, SAM 450 tỷ, SOM 9-22 tỷ; trong khi Word (P381-385) ghi TAM 900 tỷ, SAM 180 tỷ, SOM 3-5 tỷ. Hai tài liệu vênh nhau 3 - 4 lần khiến số liệu thiếu tin cậy.</t>
        </is>
      </c>
      <c r="D9" s="68" t="inlineStr">
        <is>
          <t>Thống nhất 100% theo số liệu chuẩn hóa: TAM = 900 tỷ VNĐ/năm (toàn quốc); SAM = 180 tỷ VNĐ/năm (SMEs &amp; chi nhánh tại HN/phụ cận); SOM = 3,8 – 5,4 tỷ VNĐ/năm vào Năm 3 (~700 thiết bị).</t>
        </is>
      </c>
      <c r="E9" s="69" t="inlineStr">
        <is>
          <t>Phụ trách Kinh tế / All</t>
        </is>
      </c>
      <c r="F9" s="69" t="inlineStr">
        <is>
          <t>20/09/2026</t>
        </is>
      </c>
      <c r="G9" s="70" t="inlineStr">
        <is>
          <t>ĐANG SỬA</t>
        </is>
      </c>
      <c r="H9" s="71" t="inlineStr">
        <is>
          <t>RẤT CAO</t>
        </is>
      </c>
      <c r="I9" s="68" t="inlineStr">
        <is>
          <t>Sửa triệt để Mục 5.1 &amp; Hình 5.1 trong file Sáng tạo trẻ.docx và đồng bộ sheet Excel.</t>
        </is>
      </c>
    </row>
    <row r="10" ht="42" customHeight="1">
      <c r="A10" s="66" t="inlineStr">
        <is>
          <t>1.2</t>
        </is>
      </c>
      <c r="B10" s="67" t="inlineStr">
        <is>
          <t>Thiếu công thức định lượng chi tiết cho SOM</t>
        </is>
      </c>
      <c r="C10" s="68" t="inlineStr">
        <is>
          <t>SOM nêu 3-5 tỷ nhưng chưa có công thức chuyển đổi từ SAM sang SOM. Giám khảo không thấy căn cứ tính toán quy mô khách hàng mục tiêu.</t>
        </is>
      </c>
      <c r="D10" s="68" t="inlineStr">
        <is>
          <t>Bổ sung công thức: SOM = SAM × 2%–3% thị phần thâm nhập tại HN/phụ cận = 3,8 – 5,4 tỷ VNĐ/năm (tương ứng ~700 thiết bị biên và doanh thu thuê bao lũy kế ở Năm 3).</t>
        </is>
      </c>
      <c r="E10" s="69" t="inlineStr">
        <is>
          <t>Phụ trách Kinh tế</t>
        </is>
      </c>
      <c r="F10" s="69" t="inlineStr">
        <is>
          <t>22/09/2026</t>
        </is>
      </c>
      <c r="G10" s="72" t="inlineStr">
        <is>
          <t>CHỜ DUYỆT</t>
        </is>
      </c>
      <c r="H10" s="70" t="inlineStr">
        <is>
          <t>CAO</t>
        </is>
      </c>
      <c r="I10" s="68" t="inlineStr">
        <is>
          <t>Bổ sung đoạn thuyết minh công thức chuyển đổi SOM tại Mục 5.1 bản Thuyết minh.</t>
        </is>
      </c>
    </row>
    <row r="11" ht="42" customHeight="1">
      <c r="A11" s="66" t="inlineStr">
        <is>
          <t>1.3</t>
        </is>
      </c>
      <c r="B11" s="67" t="inlineStr">
        <is>
          <t>Dữ liệu khảo sát Nỗi đau khách hàng còn định tính</t>
        </is>
      </c>
      <c r="C11" s="68" t="inlineStr">
        <is>
          <t>Nêu khảo sát 15-20 quản trị mạng nhưng chỉ mô tả chung chung bằng lời, thiếu biểu đồ tỷ lệ % quan ngại chi phí, thời gian xử lý sự cố và nhân lực.</t>
        </is>
      </c>
      <c r="D11" s="68" t="inlineStr">
        <is>
          <t>Bổ sung bảng số liệu: 85% đơn vị không có SOC chuyên trách; 92% lo ngại chi phí giải pháp ngoại (&gt;200Tr/năm); 78% mong muốn cảnh báo tức thời &lt;1s tại biên mạng.</t>
        </is>
      </c>
      <c r="E11" s="69" t="inlineStr">
        <is>
          <t>All</t>
        </is>
      </c>
      <c r="F11" s="69" t="inlineStr">
        <is>
          <t>25/09/2026</t>
        </is>
      </c>
      <c r="G11" s="70" t="inlineStr">
        <is>
          <t>ĐANG SỬA</t>
        </is>
      </c>
      <c r="H11" s="70" t="inlineStr">
        <is>
          <t>CAO</t>
        </is>
      </c>
      <c r="I11" s="68" t="inlineStr">
        <is>
          <t>Bổ sung Bảng khảo sát định lượng vào Mục 5.1 và đính kèm Phụ lục B Đề án.</t>
        </is>
      </c>
    </row>
    <row r="12" ht="25" customHeight="1">
      <c r="A12" s="64" t="inlineStr">
        <is>
          <t>▶ 2. TÁI CẤU TRÚC CHI PHÍ PHẦN CỨNG &amp; BÓC TÁCH GIÁ VỐN BOM (MỤC 5.3 ĐỀ ÁN)</t>
        </is>
      </c>
      <c r="B12" s="65" t="n"/>
      <c r="C12" s="65" t="n"/>
      <c r="D12" s="65" t="n"/>
      <c r="E12" s="65" t="n"/>
      <c r="F12" s="65" t="n"/>
      <c r="G12" s="65" t="n"/>
      <c r="H12" s="65" t="n"/>
      <c r="I12" s="65" t="n"/>
    </row>
    <row r="13" ht="42" customHeight="1">
      <c r="A13" s="66" t="inlineStr">
        <is>
          <t>2.1</t>
        </is>
      </c>
      <c r="B13" s="67" t="inlineStr">
        <is>
          <t>Nghịch lý Giá vốn phần cứng (COGS) 4,33 triệu cho ESP32</t>
        </is>
      </c>
      <c r="C13" s="68" t="inlineStr">
        <is>
          <t>Thiết bị biên thực chất dùng ESP32 (linh kiện ~300k-500k) nhưng COGS trong đề án lại ghi 4.331.000 VNĐ. Giám khảo sẽ bắt bẻ ngay rằng BoM vô lý hoặc khai khống chi phí.</t>
        </is>
      </c>
      <c r="D13" s="68" t="inlineStr">
        <is>
          <t>Bóc tách cấu trúc giá vốn thành 7 thành phần hoàn chỉnh: BoM linh kiện cốt lõi (450k) + Phụ kiện công nghiệp (280k) + Vỏ IP54/DIN rail (220k) + Kiểm thử Burn-in (350k) + Dịch vụ triển khai on-site (1.800k) + Bảo hành 1-1 (600k) + Hoa hồng SI (630k) = 4.330.000 VNĐ.</t>
        </is>
      </c>
      <c r="E13" s="69" t="inlineStr">
        <is>
          <t>Nguyễn Hữu Đức Anh (Hardware Lead)</t>
        </is>
      </c>
      <c r="F13" s="69" t="inlineStr">
        <is>
          <t>22/09/2026</t>
        </is>
      </c>
      <c r="G13" s="72" t="inlineStr">
        <is>
          <t>RẤT CAO</t>
        </is>
      </c>
      <c r="H13" s="71" t="inlineStr">
        <is>
          <t>RẤT CAO</t>
        </is>
      </c>
      <c r="I13" s="68" t="inlineStr">
        <is>
          <t>Bảng bóc tách BoM chi tiết 7 thành tố tại Mục 5.3 Word &amp; Bảng tham chiếu 1 Excel.</t>
        </is>
      </c>
    </row>
    <row r="14" ht="42" customHeight="1">
      <c r="A14" s="66" t="inlineStr">
        <is>
          <t>2.2</t>
        </is>
      </c>
      <c r="B14" s="67" t="inlineStr">
        <is>
          <t>Tách bạch Chi phí Dịch vụ Triển khai On-site</t>
        </is>
      </c>
      <c r="C14" s="68" t="inlineStr">
        <is>
          <t>Trước đây gộp toàn bộ vào giá vốn thiết bị khiến giá phần cứng bị hiểu nhầm là đắt đỏ. Khách hàng B2B cần biết rõ tiền mua thiết bị vs. tiền dịch vụ cài đặt.</t>
        </is>
      </c>
      <c r="D14" s="68" t="inlineStr">
        <is>
          <t>Quy định rõ trong hợp đồng mẫu: Giá thiết bị gồm 2 phần: Thiết bị phần cứng bàn giao (2.500.000 VNĐ) + Gói dịch vụ tích hợp mạng &amp; cấu hình on-site (2.750.000 VNĐ).</t>
        </is>
      </c>
      <c r="E14" s="69" t="inlineStr">
        <is>
          <t>Phụ trách Kinh tế</t>
        </is>
      </c>
      <c r="F14" s="69" t="inlineStr">
        <is>
          <t>24/09/2026</t>
        </is>
      </c>
      <c r="G14" s="72" t="inlineStr">
        <is>
          <t>CHỜ DUYỆT</t>
        </is>
      </c>
      <c r="H14" s="70" t="inlineStr">
        <is>
          <t>CAO</t>
        </is>
      </c>
      <c r="I14" s="68" t="inlineStr">
        <is>
          <t>Cập nhật cơ cấu gói sản phẩm tại Mục 5.3 và đưa vào Phụ lục Hợp đồng mẫu.</t>
        </is>
      </c>
    </row>
    <row r="15" ht="42" customHeight="1">
      <c r="A15" s="66" t="inlineStr">
        <is>
          <t>2.3</t>
        </is>
      </c>
      <c r="B15" s="67" t="inlineStr">
        <is>
          <t>Rủi ro biên lợi nhuận phần cứng bị âm khi chiết khấu đại lý SI</t>
        </is>
      </c>
      <c r="C15" s="68" t="inlineStr">
        <is>
          <t>Mục 5.4 nêu phân phối qua đối tác SI nhưng chưa tính hoa hồng chiết khấu (12-15%). Nếu trừ hoa hồng vào biên lãi 17,5% thì bán thiết bị sẽ bị hòa hoặc lỗ.</t>
        </is>
      </c>
      <c r="D15" s="68" t="inlineStr">
        <is>
          <t>Đưa khoản chiết khấu SI Partner 12% (~630.000 VNĐ/box) vào thẳng cấu trúc giá vốn COGS hoặc thỏa thuận chiết khấu lũy tiến trên số lượng thiết bị cam kết.</t>
        </is>
      </c>
      <c r="E15" s="69" t="inlineStr">
        <is>
          <t>Phụ trách Kinh tế</t>
        </is>
      </c>
      <c r="F15" s="69" t="inlineStr">
        <is>
          <t>26/09/2026</t>
        </is>
      </c>
      <c r="G15" s="70" t="inlineStr">
        <is>
          <t>ĐANG SỬA</t>
        </is>
      </c>
      <c r="H15" s="70" t="inlineStr">
        <is>
          <t>CAO</t>
        </is>
      </c>
      <c r="I15" s="68" t="inlineStr">
        <is>
          <t>Cập nhật Chính sách phân phối đại lý SI tại Mục 5.4 Đề án.</t>
        </is>
      </c>
    </row>
    <row r="16" ht="25" customHeight="1">
      <c r="A16" s="64" t="inlineStr">
        <is>
          <t>▶ 3. ĐỒNG BỘ ĐỊNH GIÁ DỊCH VỤ SAAS &amp; SO SÁNH TCO ĐỐI THỦ (MỤC 5.2 - 5.3 ĐỀ ÁN)</t>
        </is>
      </c>
      <c r="B16" s="65" t="n"/>
      <c r="C16" s="65" t="n"/>
      <c r="D16" s="65" t="n"/>
      <c r="E16" s="65" t="n"/>
      <c r="F16" s="65" t="n"/>
      <c r="G16" s="65" t="n"/>
      <c r="H16" s="65" t="n"/>
      <c r="I16" s="65" t="n"/>
    </row>
    <row r="17" ht="42" customHeight="1">
      <c r="A17" s="66" t="inlineStr">
        <is>
          <t>3.1</t>
        </is>
      </c>
      <c r="B17" s="67" t="inlineStr">
        <is>
          <t>Mâu thuẫn giá gói dịch vụ SaaS Pro giữa 2 tài liệu</t>
        </is>
      </c>
      <c r="C17" s="68" t="inlineStr">
        <is>
          <t>Excel ghi Gói Pro 1.500.000 đ/tháng, Basic 500.000 đ/tháng; Word ghi Basic 300.000 đ/tháng, Pro 550.000 đ/tháng, Enterprise 800.000 đ/tháng. Nếu dùng giá Excel thì bảng tài chính sụp đổ.</t>
        </is>
      </c>
      <c r="D17" s="68" t="inlineStr">
        <is>
          <t>Chuẩn hóa 100% toàn bộ tài liệu theo bộ giá: Basic (300.000 đ/tháng) | Pro (550.000 đ/tháng - gói chủ lực tính ARPU) | Enterprise (800.000 đ/tháng).</t>
        </is>
      </c>
      <c r="E17" s="69" t="inlineStr">
        <is>
          <t>Phụ trách Kinh tế</t>
        </is>
      </c>
      <c r="F17" s="69" t="inlineStr">
        <is>
          <t>20/09/2026</t>
        </is>
      </c>
      <c r="G17" s="73" t="inlineStr">
        <is>
          <t>HOÀN THÀNH</t>
        </is>
      </c>
      <c r="H17" s="71" t="inlineStr">
        <is>
          <t>RẤT CAO</t>
        </is>
      </c>
      <c r="I17" s="68" t="inlineStr">
        <is>
          <t>Đã sửa đồng bộ trong Excel; kiểm tra lại toàn bộ Mục 5.3 trong file Word.</t>
        </is>
      </c>
    </row>
    <row r="18" ht="42" customHeight="1">
      <c r="A18" s="66" t="inlineStr">
        <is>
          <t>3.2</t>
        </is>
      </c>
      <c r="B18" s="67" t="inlineStr">
        <is>
          <t>Thiếu bảng so sánh chi phí sở hữu tổng thể (TCO Comparison)</t>
        </is>
      </c>
      <c r="C18" s="68" t="inlineStr">
        <is>
          <t>Đề án tuyên bố 'giá thành bằng 1/5 giải pháp truyền thống' nhưng thiếu bảng so sánh TCO 3 năm chi tiết với Fortinet, Sophos, Snort để chứng minh luận điểm.</t>
        </is>
      </c>
      <c r="D18" s="68" t="inlineStr">
        <is>
          <t>Xây dựng bảng so sánh TCO 3 năm cho mạng 10 điểm biên: Fortinet FortiGate (~250-380Tr), Snort Server (~160-220Tr) vs AERO Edge AI (~80-95Tr). Chứng minh tiết kiệm 65% – 75%.</t>
        </is>
      </c>
      <c r="E18" s="69" t="inlineStr">
        <is>
          <t>Lê Việt Anh / AI Lead</t>
        </is>
      </c>
      <c r="F18" s="69" t="inlineStr">
        <is>
          <t>23/09/2026</t>
        </is>
      </c>
      <c r="G18" s="70" t="inlineStr">
        <is>
          <t>ĐANG SỬA</t>
        </is>
      </c>
      <c r="H18" s="70" t="inlineStr">
        <is>
          <t>CAO</t>
        </is>
      </c>
      <c r="I18" s="68" t="inlineStr">
        <is>
          <t>Bổ sung Bảng so sánh TCO vào Mục 5.3 &amp; Bảng tham chiếu 2 Excel.</t>
        </is>
      </c>
    </row>
    <row r="19" ht="25" customHeight="1">
      <c r="A19" s="64" t="inlineStr">
        <is>
          <t>▶ 4. TÁI LẬP CHI PHÍ VẬN HÀNH OPEX, QUỸ LƯƠNG &amp; CLOUD DATA LAKE (MỤC 5.3 &amp; 5.5)</t>
        </is>
      </c>
      <c r="B19" s="65" t="n"/>
      <c r="C19" s="65" t="n"/>
      <c r="D19" s="65" t="n"/>
      <c r="E19" s="65" t="n"/>
      <c r="F19" s="65" t="n"/>
      <c r="G19" s="65" t="n"/>
      <c r="H19" s="65" t="n"/>
      <c r="I19" s="65" t="n"/>
    </row>
    <row r="20" ht="42" customHeight="1">
      <c r="A20" s="66" t="inlineStr">
        <is>
          <t>4.1</t>
        </is>
      </c>
      <c r="B20" s="67" t="inlineStr">
        <is>
          <t>Quỹ lương 58 triệu/tháng cho 5-6 nhân sự là phi thực tế</t>
        </is>
      </c>
      <c r="C20" s="68" t="inlineStr">
        <is>
          <t>Ngân sách nhân sự 700 triệu/12 tháng chia 5 người chỉ được 9-11 triệu/người/tháng. Không đủ để duy trì đội ngũ kỹ thuật an ninh mạng làm việc full-time.</t>
        </is>
      </c>
      <c r="D20" s="68" t="inlineStr">
        <is>
          <t>Phân kỳ quỹ nhân sự 2 giai đoạn: Giai đoạn 1 (Tháng 1-12): Trợ cấp Co-founders (4 người × 8-10Tr) + thuê chuyên gia cố vấn part-time (15-20Tr/tháng) = ~58Tr/tháng. Giai đoạn 2: Tăng lương chính thức lấy từ dòng tiền doanh thu SaaS lũy kế.</t>
        </is>
      </c>
      <c r="E20" s="69" t="inlineStr">
        <is>
          <t>All Co-founders</t>
        </is>
      </c>
      <c r="F20" s="69" t="inlineStr">
        <is>
          <t>24/09/2026</t>
        </is>
      </c>
      <c r="G20" s="70" t="inlineStr">
        <is>
          <t>ĐANG SỬA</t>
        </is>
      </c>
      <c r="H20" s="71" t="inlineStr">
        <is>
          <t>RẤT CAO</t>
        </is>
      </c>
      <c r="I20" s="68" t="inlineStr">
        <is>
          <t>Bổ sung giải trình phân kỳ quỹ lương tại Mục 1.4 và Mục 5.5 Đề án.</t>
        </is>
      </c>
    </row>
    <row r="21" ht="42" customHeight="1">
      <c r="A21" s="66" t="inlineStr">
        <is>
          <t>4.2</t>
        </is>
      </c>
      <c r="B21" s="67" t="inlineStr">
        <is>
          <t>Thiếu hoàn toàn dự toán chi phí Cloud Server &amp; Data Lakehouse</t>
        </is>
      </c>
      <c r="C21" s="68" t="inlineStr">
        <is>
          <t>Hệ thống thu thập telemetry 1s/lần, lưu trữ Parquet, xử lý 56 đặc trưng nhưng chi phí hạ tầng máy chủ bị bỏ trống hoàn toàn trong bảng tài chính.</t>
        </is>
      </c>
      <c r="D21" s="68" t="inlineStr">
        <is>
          <t>Lập bảng dự toán chi phí Cloud Server theo quy mô box: Năm 1 (60 box): ~3,5Tr/tháng (~42Tr/năm); Năm 2 (260 box): ~8,5Tr/tháng (~102Tr/năm); Năm 3 (700 box): ~18Tr/tháng (~216Tr/năm).</t>
        </is>
      </c>
      <c r="E21" s="69" t="inlineStr">
        <is>
          <t>Nguyễn Hữu Đức Anh (Backend)</t>
        </is>
      </c>
      <c r="F21" s="69" t="inlineStr">
        <is>
          <t>25/09/2026</t>
        </is>
      </c>
      <c r="G21" s="70" t="inlineStr">
        <is>
          <t>ĐANG SỬA</t>
        </is>
      </c>
      <c r="H21" s="70" t="inlineStr">
        <is>
          <t>CAO</t>
        </is>
      </c>
      <c r="I21" s="68" t="inlineStr">
        <is>
          <t>Bổ sung Bảng dự toán Cloud Data Lake tại Bảng tham chiếu 3 &amp; Mục 5.3.</t>
        </is>
      </c>
    </row>
    <row r="22" ht="42" customHeight="1">
      <c r="A22" s="66" t="inlineStr">
        <is>
          <t>4.3</t>
        </is>
      </c>
      <c r="B22" s="67" t="inlineStr">
        <is>
          <t>Chi phí Marketing &amp; Bán hàng (CAC 3.000.000 VNĐ) thiếu bóc tách</t>
        </is>
      </c>
      <c r="C22" s="68" t="inlineStr">
        <is>
          <t>CAC 3 triệu/khách chỉ là ước tính chia đều (500Tr / 160 khách), chưa có breakdown chi phí từng kênh tiếp cận thị trường cụ thể.</t>
        </is>
      </c>
      <c r="D22" s="68" t="inlineStr">
        <is>
          <t>Phân bổ ngân sách Marketing 500 triệu (12-18 tháng đầu): Chương trình Pilot POC miễn phí 5 đối tác (150Tr) + Content kỹ thuật/Whitepaper (80Tr) + Gian hàng sự kiện Sáng tạo trẻ/Hội thảo (120Tr) + Hoa hồng mở đại lý SI (150Tr).</t>
        </is>
      </c>
      <c r="E22" s="69" t="inlineStr">
        <is>
          <t>Phụ trách Kinh tế</t>
        </is>
      </c>
      <c r="F22" s="69" t="inlineStr">
        <is>
          <t>27/09/2026</t>
        </is>
      </c>
      <c r="G22" s="72" t="inlineStr">
        <is>
          <t>CHỜ DUYỆT</t>
        </is>
      </c>
      <c r="H22" s="70" t="inlineStr">
        <is>
          <t>CAO</t>
        </is>
      </c>
      <c r="I22" s="68" t="inlineStr">
        <is>
          <t>Bổ sung Bảng phân bổ ngân sách GTM chi tiết tại Mục 5.4 Đề án.</t>
        </is>
      </c>
    </row>
    <row r="23" ht="25" customHeight="1">
      <c r="A23" s="64" t="inlineStr">
        <is>
          <t>▶ 5. HOÀN THIỆN MÔ HÌNH UNIT ECONOMICS &amp; DỰ PHÓNG P&amp;L 3 NĂM (MỤC 5.5 ĐỀ ÁN)</t>
        </is>
      </c>
      <c r="B23" s="65" t="n"/>
      <c r="C23" s="65" t="n"/>
      <c r="D23" s="65" t="n"/>
      <c r="E23" s="65" t="n"/>
      <c r="F23" s="65" t="n"/>
      <c r="G23" s="65" t="n"/>
      <c r="H23" s="65" t="n"/>
      <c r="I23" s="65" t="n"/>
    </row>
    <row r="24" ht="42" customHeight="1">
      <c r="A24" s="66" t="inlineStr">
        <is>
          <t>5.1</t>
        </is>
      </c>
      <c r="B24" s="67" t="inlineStr">
        <is>
          <t>Công thức LTV chưa tính tác động của Churn Rate</t>
        </is>
      </c>
      <c r="C24" s="68" t="inlineStr">
        <is>
          <t>LTV tính bằng cách nhân thẳng 24 tháng (8,84 triệu) mà chưa trừ tỷ lệ khách hàng rời bỏ (Churn 3% năm 1, 1.2% năm 2), làm thổi phồng LTV.</t>
        </is>
      </c>
      <c r="D24" s="68" t="inlineStr">
        <is>
          <t>Tính LTV chiết khấu theo thời gian duy trì thực tế (~19,2 tháng do churn) → LTV thực tế = 0,92Tr (lãi box) + (0,33Tr × 19,2 tháng) ≈ 7,25 triệu VNĐ → LTV/CAC đạt 2,42x (vẫn an toàn &gt; 2,0x).</t>
        </is>
      </c>
      <c r="E24" s="69" t="inlineStr">
        <is>
          <t>Phụ trách Kinh tế</t>
        </is>
      </c>
      <c r="F24" s="69" t="inlineStr">
        <is>
          <t>25/09/2026</t>
        </is>
      </c>
      <c r="G24" s="70" t="inlineStr">
        <is>
          <t>ĐANG SỬA</t>
        </is>
      </c>
      <c r="H24" s="71" t="inlineStr">
        <is>
          <t>RẤT CAO</t>
        </is>
      </c>
      <c r="I24" s="68" t="inlineStr">
        <is>
          <t>Hiệu chỉnh công thức và bảng Unit Economics tại Mục 5.5 bản Thuyết minh.</t>
        </is>
      </c>
    </row>
    <row r="25" ht="42" customHeight="1">
      <c r="A25" s="66" t="inlineStr">
        <is>
          <t>5.2</t>
        </is>
      </c>
      <c r="B25" s="67" t="inlineStr">
        <is>
          <t>Dự phóng Tài chính trong Excel chưa có bảng số liệu chi tiết</t>
        </is>
      </c>
      <c r="C25" s="68" t="inlineStr">
        <is>
          <t>Excel chỉ có 1 dòng ghi tổng doanh thu 3 năm, không có bảng phân bổ doanh thu phần cứng, doanh thu thuê bao, COGS, OPEX và dòng tiền theo quý.</t>
        </is>
      </c>
      <c r="D25" s="68" t="inlineStr">
        <is>
          <t>Xây dựng bảng dự phóng P&amp;L chi tiết 3 Năm: Năm 1 (DT 380Tr, CP 980Tr, Dòng tiền thuần -600Tr); Năm 2 (DT 1.940Tr, CP 2.230Tr, Dòng tiền thuần -290Tr, Lũy kế -890Tr); Năm 3 (DT 5.360Tr, CP 3.860Tr, Dòng tiền thuần +1.500Tr, Lũy kế +610Tr).</t>
        </is>
      </c>
      <c r="E25" s="69" t="inlineStr">
        <is>
          <t>Phụ trách Kinh tế</t>
        </is>
      </c>
      <c r="F25" s="69" t="inlineStr">
        <is>
          <t>26/09/2026</t>
        </is>
      </c>
      <c r="G25" s="70" t="inlineStr">
        <is>
          <t>ĐANG SỬA</t>
        </is>
      </c>
      <c r="H25" s="71" t="inlineStr">
        <is>
          <t>RẤT CAO</t>
        </is>
      </c>
      <c r="I25" s="68" t="inlineStr">
        <is>
          <t>Bảng P&amp;L 3 Năm tham chiếu 4 tại Excel và cập nhật Hình 5.2 Word.</t>
        </is>
      </c>
    </row>
    <row r="26" ht="42" customHeight="1">
      <c r="A26" s="66" t="inlineStr">
        <is>
          <t>5.3</t>
        </is>
      </c>
      <c r="B26" s="67" t="inlineStr">
        <is>
          <t>Thiếu kịch bản độ nhạy tài chính (Base / Worst / Best Case)</t>
        </is>
      </c>
      <c r="C26" s="68" t="inlineStr">
        <is>
          <t>Mục 5.5.1 trong Word yêu cầu phân tích kịch bản tốt/xấu nhưng chưa có bảng số liệu so sánh khi tốc độ bán hàng không đạt kỳ vọng.</t>
        </is>
      </c>
      <c r="D26" s="68" t="inlineStr">
        <is>
          <t>Lập 3 kịch bản: Kịch bản Cơ sở (Base Case: 700 box, DT 5,36 tỷ), Kịch bản Thận trọng (Worst Case: đạt 60% kế hoạch, 420 box, cần kéo dài runway), Kịch bản Tăng trưởng (Best Case: đạt 130% kế hoạch, 910 box).</t>
        </is>
      </c>
      <c r="E26" s="69" t="inlineStr">
        <is>
          <t>All</t>
        </is>
      </c>
      <c r="F26" s="69" t="inlineStr">
        <is>
          <t>28/09/2026</t>
        </is>
      </c>
      <c r="G26" s="72" t="inlineStr">
        <is>
          <t>CHỜ DUYỆT</t>
        </is>
      </c>
      <c r="H26" s="74" t="inlineStr">
        <is>
          <t>TRUNG BÌNH</t>
        </is>
      </c>
      <c r="I26" s="68" t="inlineStr">
        <is>
          <t>Bổ sung Mục 5.5.1 Kịch bản tài chính tốt/xấu trong file Word.</t>
        </is>
      </c>
    </row>
    <row r="27" ht="25" customHeight="1">
      <c r="A27" s="64" t="inlineStr">
        <is>
          <t>▶ 6. KẾ HOẠCH GỌI VỐN 2,5 TỶ, RUNWAY &amp; ĐIỂM HÒA VỐN (MỤC 1.4 &amp; 5.5 ĐỀ ÁN)</t>
        </is>
      </c>
      <c r="B27" s="65" t="n"/>
      <c r="C27" s="65" t="n"/>
      <c r="D27" s="65" t="n"/>
      <c r="E27" s="65" t="n"/>
      <c r="F27" s="65" t="n"/>
      <c r="G27" s="65" t="n"/>
      <c r="H27" s="65" t="n"/>
      <c r="I27" s="65" t="n"/>
    </row>
    <row r="28" ht="42" customHeight="1">
      <c r="A28" s="66" t="inlineStr">
        <is>
          <t>6.1</t>
        </is>
      </c>
      <c r="B28" s="67" t="inlineStr">
        <is>
          <t>Chứng minh quy mô vốn gọi 2,5 tỷ VNĐ và mức dòng tiền âm lũy kế</t>
        </is>
      </c>
      <c r="C28" s="68" t="inlineStr">
        <is>
          <t>Con số gọi vốn 2,5 tỷ chưa giải trình được vì sao cần 2,5 tỷ mà không phải 1,5 hay 3 tỷ. Chưa liên kết chặt chẽ với lộ trình dòng tiền âm.</t>
        </is>
      </c>
      <c r="D28" s="68" t="inlineStr">
        <is>
          <t>Chứng minh bằng dòng tiền âm cực đại: Cuối năm 2 dòng tiền âm lũy kế là -890 triệu VNĐ + CAPEX mở rộng (300-500Tr) + Quỹ dự phòng an toàn 24 tháng cho chi phí cố định (~1 tỷ) = Tổng nhu cầu an toàn là 2,5 tỷ VNĐ.</t>
        </is>
      </c>
      <c r="E28" s="69" t="inlineStr">
        <is>
          <t>All</t>
        </is>
      </c>
      <c r="F28" s="69" t="inlineStr">
        <is>
          <t>20/09/2026</t>
        </is>
      </c>
      <c r="G28" s="73" t="inlineStr">
        <is>
          <t>HOÀN THÀNH</t>
        </is>
      </c>
      <c r="H28" s="71" t="inlineStr">
        <is>
          <t>RẤT CAO</t>
        </is>
      </c>
      <c r="I28" s="68" t="inlineStr">
        <is>
          <t>Hoàn thiện thuyết minh Mục 1.4 &amp; Bảng tham chiếu 5 Excel.</t>
        </is>
      </c>
    </row>
    <row r="29" ht="42" customHeight="1">
      <c r="A29" s="66" t="inlineStr">
        <is>
          <t>6.2</t>
        </is>
      </c>
      <c r="B29" s="67" t="inlineStr">
        <is>
          <t>Mô hình hóa điểm hòa vốn (Break-even Point) theo quy mô thiết bị</t>
        </is>
      </c>
      <c r="C29" s="68" t="inlineStr">
        <is>
          <t>Chưa nêu rõ điểm hòa vốn theo tháng và số lượng thiết bị hoạt động tối thiểu để bù đắp chi phí cố định hàng tháng.</t>
        </is>
      </c>
      <c r="D29" s="68" t="inlineStr">
        <is>
          <t>Điểm hòa vốn xác định tại Tháng thứ 25 (Đầu Năm 3), khi quy mô đạt ~520 thiết bị duy trì thuê bao (Doanh thu định kỳ đạt ~286Tr/tháng ≥ Chi phí OPEX cố định ~250Tr/tháng).</t>
        </is>
      </c>
      <c r="E29" s="69" t="inlineStr">
        <is>
          <t>Phụ trách Kinh tế</t>
        </is>
      </c>
      <c r="F29" s="69" t="inlineStr">
        <is>
          <t>25/09/2026</t>
        </is>
      </c>
      <c r="G29" s="70" t="inlineStr">
        <is>
          <t>ĐANG SỬA</t>
        </is>
      </c>
      <c r="H29" s="70" t="inlineStr">
        <is>
          <t>CAO</t>
        </is>
      </c>
      <c r="I29" s="68" t="inlineStr">
        <is>
          <t>Bổ sung đồ thị &amp; phân tích điểm hòa vốn tại Mục 5.5.</t>
        </is>
      </c>
    </row>
    <row r="31" ht="30" customHeight="1">
      <c r="A31" s="75" t="inlineStr">
        <is>
          <t>PHẦN B: CÁC BẢNG DỮ LIỆU ĐỊNH LƯỢNG CHUẨN HÓA THAM CHIẾU (FINANCIAL REFERENCE DATA TABLES)</t>
        </is>
      </c>
      <c r="B31" s="65" t="n"/>
      <c r="C31" s="65" t="n"/>
      <c r="D31" s="65" t="n"/>
      <c r="E31" s="65" t="n"/>
      <c r="F31" s="65" t="n"/>
      <c r="G31" s="65" t="n"/>
      <c r="H31" s="65" t="n"/>
      <c r="I31" s="65" t="n"/>
    </row>
    <row r="33" ht="25" customHeight="1">
      <c r="A33" s="76" t="inlineStr">
        <is>
          <t>BẢNG B1: BÓC TÁCH CHI TIẾT GIÁ VỐN HÀNG BÁN (COGS) THIẾT BỊ AERO EDGE PROBE (GIÁ BÁN: 5.250.000 VNĐ)</t>
        </is>
      </c>
      <c r="B33" s="65" t="n"/>
      <c r="C33" s="65" t="n"/>
      <c r="D33" s="65" t="n"/>
      <c r="E33" s="65" t="n"/>
      <c r="F33" s="65" t="n"/>
      <c r="G33" s="65" t="n"/>
      <c r="H33" s="65" t="n"/>
      <c r="I33" s="65" t="n"/>
    </row>
    <row r="34" ht="24" customHeight="1">
      <c r="A34" s="77" t="inlineStr">
        <is>
          <t>Mã BoM</t>
        </is>
      </c>
      <c r="B34" s="77" t="inlineStr">
        <is>
          <t>Hạng mục Cấu thành Giá vốn Thiết bị</t>
        </is>
      </c>
      <c r="C34" s="77" t="inlineStr">
        <is>
          <t>Chi tiết Kỹ thuật / Quy cách Linh kiện</t>
        </is>
      </c>
      <c r="D34" s="77" t="inlineStr">
        <is>
          <t>Đơn giá (VNĐ)</t>
        </is>
      </c>
      <c r="E34" s="77" t="inlineStr">
        <is>
          <t>Tỷ trọng (%)</t>
        </is>
      </c>
      <c r="F34" s="77" t="inlineStr">
        <is>
          <t>Ghi chú &amp; Căn cứ Xác định</t>
        </is>
      </c>
      <c r="G34" s="77" t="inlineStr">
        <is>
          <t>Phân loại Chi phí</t>
        </is>
      </c>
      <c r="H34" s="77" t="inlineStr">
        <is>
          <t>Nhà cung ứng / Đơn vị thực hiện</t>
        </is>
      </c>
      <c r="I34" s="77" t="inlineStr">
        <is>
          <t>Giải trình Thuyết minh Đề án</t>
        </is>
      </c>
    </row>
    <row r="35" ht="22" customHeight="1">
      <c r="A35" s="69" t="inlineStr">
        <is>
          <t>BOM-01</t>
        </is>
      </c>
      <c r="B35" s="67" t="inlineStr">
        <is>
          <t>Module Vi xử lý &amp; Mạng cốt lõi</t>
        </is>
      </c>
      <c r="C35" s="68" t="inlineStr">
        <is>
          <t>ESP32-S3-WROOM-1 (16MB Flash, 8MB PSRAM) + LAN8720A Ethernet + TVS Diode</t>
        </is>
      </c>
      <c r="D35" s="78" t="n">
        <v>450000</v>
      </c>
      <c r="E35" s="69" t="inlineStr">
        <is>
          <t>10.4%</t>
        </is>
      </c>
      <c r="F35" s="68" t="inlineStr">
        <is>
          <t>Mạch chính trích xuất 56 đặc trưng thời gian thực</t>
        </is>
      </c>
      <c r="G35" s="69" t="inlineStr">
        <is>
          <t>Linh kiện trực tiếp</t>
        </is>
      </c>
      <c r="H35" s="68" t="inlineStr">
        <is>
          <t>Espressif / Đại lý cấp 1</t>
        </is>
      </c>
      <c r="I35" s="68" t="inlineStr">
        <is>
          <t>Mục 4.1 &amp; 4.3 Đề án</t>
        </is>
      </c>
    </row>
    <row r="36" ht="22" customHeight="1">
      <c r="A36" s="69" t="inlineStr">
        <is>
          <t>BOM-02</t>
        </is>
      </c>
      <c r="B36" s="67" t="inlineStr">
        <is>
          <t>Bộ Phụ kiện Công nghiệp</t>
        </is>
      </c>
      <c r="C36" s="68" t="inlineStr">
        <is>
          <t>Bộ đổi nguồn MeanWell 5V/2A công nghiệp + Cáp đúc Cat6 chống nhiễu 3m</t>
        </is>
      </c>
      <c r="D36" s="78" t="n">
        <v>280000</v>
      </c>
      <c r="E36" s="69" t="inlineStr">
        <is>
          <t>6.5%</t>
        </is>
      </c>
      <c r="F36" s="68" t="inlineStr">
        <is>
          <t>Đảm bảo hoạt động liên tục 24/7 ổn định nhiệt độ</t>
        </is>
      </c>
      <c r="G36" s="69" t="inlineStr">
        <is>
          <t>Linh kiện trực tiếp</t>
        </is>
      </c>
      <c r="H36" s="68" t="inlineStr">
        <is>
          <t>MeanWell Vietnam</t>
        </is>
      </c>
      <c r="I36" s="68" t="inlineStr">
        <is>
          <t>Mục 4.3 Kiểm định 24/7</t>
        </is>
      </c>
    </row>
    <row r="37" ht="22" customHeight="1">
      <c r="A37" s="69" t="inlineStr">
        <is>
          <t>BOM-03</t>
        </is>
      </c>
      <c r="B37" s="67" t="inlineStr">
        <is>
          <t>Vỏ hộp Công nghiệp &amp; Gá lắp</t>
        </is>
      </c>
      <c r="C37" s="68" t="inlineStr">
        <is>
          <t>Hộp nhựa ABS kỹ thuật chuẩn IP54 + Gá ray DIN rail 35mm tủ rack + ốc vít đồng</t>
        </is>
      </c>
      <c r="D37" s="78" t="n">
        <v>220000</v>
      </c>
      <c r="E37" s="69" t="inlineStr">
        <is>
          <t>5.1%</t>
        </is>
      </c>
      <c r="F37" s="68" t="inlineStr">
        <is>
          <t>Lắp đặt linh hoạt trong tủ mạng văn phòng/nhà xưởng</t>
        </is>
      </c>
      <c r="G37" s="69" t="inlineStr">
        <is>
          <t>Linh kiện trực tiếp</t>
        </is>
      </c>
      <c r="H37" s="68" t="inlineStr">
        <is>
          <t>Xưởng gia công khuôn mẫu</t>
        </is>
      </c>
      <c r="I37" s="68" t="inlineStr">
        <is>
          <t>Mục 4.3 Đóng gói sản phẩm</t>
        </is>
      </c>
    </row>
    <row r="38" ht="22" customHeight="1">
      <c r="A38" s="69" t="inlineStr">
        <is>
          <t>BOM-04</t>
        </is>
      </c>
      <c r="B38" s="67" t="inlineStr">
        <is>
          <t>Gia công SMT, Nạp FW &amp; Burn-in Test</t>
        </is>
      </c>
      <c r="C38" s="68" t="inlineStr">
        <is>
          <t>Chi phí hàn dán SMT, nạp firmware, kiểm thử tải cao 48h tại phòng lab</t>
        </is>
      </c>
      <c r="D38" s="78" t="n">
        <v>350000</v>
      </c>
      <c r="E38" s="69" t="inlineStr">
        <is>
          <t>8.1%</t>
        </is>
      </c>
      <c r="F38" s="68" t="inlineStr">
        <is>
          <t>Đo tỷ lệ rớt gói tin và độ trễ phân tích &lt; 0.1ms</t>
        </is>
      </c>
      <c r="G38" s="69" t="inlineStr">
        <is>
          <t>Nhân công trực tiếp</t>
        </is>
      </c>
      <c r="H38" s="68" t="inlineStr">
        <is>
          <t>Đội ngũ kỹ thuật AERO</t>
        </is>
      </c>
      <c r="I38" s="68" t="inlineStr">
        <is>
          <t>Mục 4.3 Giai đoạn 5</t>
        </is>
      </c>
    </row>
    <row r="39" ht="22" customHeight="1">
      <c r="A39" s="69" t="inlineStr">
        <is>
          <t>BOM-05</t>
        </is>
      </c>
      <c r="B39" s="67" t="inlineStr">
        <is>
          <t>Dịch vụ Khảo sát &amp; Lắp đặt On-site</t>
        </is>
      </c>
      <c r="C39" s="68" t="inlineStr">
        <is>
          <t>Kỹ thuật viên đến trực tiếp văn phòng khách hàng cấu hình SPAN port &amp; VLAN</t>
        </is>
      </c>
      <c r="D39" s="78" t="n">
        <v>1800000</v>
      </c>
      <c r="E39" s="69" t="inlineStr">
        <is>
          <t>41.6%</t>
        </is>
      </c>
      <c r="F39" s="68" t="inlineStr">
        <is>
          <t>Dịch vụ triển khai chuyên nghiệp bảo đảm kết nối an toàn</t>
        </is>
      </c>
      <c r="G39" s="69" t="inlineStr">
        <is>
          <t>Dịch vụ triển khai</t>
        </is>
      </c>
      <c r="H39" s="68" t="inlineStr">
        <is>
          <t>Đội triển khai hiện trường</t>
        </is>
      </c>
      <c r="I39" s="68" t="inlineStr">
        <is>
          <t>Mục 5.3 &amp; 5.4 Bán hàng B2B</t>
        </is>
      </c>
    </row>
    <row r="40" ht="22" customHeight="1">
      <c r="A40" s="69" t="inlineStr">
        <is>
          <t>BOM-06</t>
        </is>
      </c>
      <c r="B40" s="67" t="inlineStr">
        <is>
          <t>Dự phòng Bảo hành 1 Đổi 1 &amp; Linh kiện</t>
        </is>
      </c>
      <c r="C40" s="68" t="inlineStr">
        <is>
          <t>Quỹ dự phòng đổi mới ngay trong 24h khi có sự cố phần cứng trong 12 tháng</t>
        </is>
      </c>
      <c r="D40" s="78" t="n">
        <v>600000</v>
      </c>
      <c r="E40" s="69" t="inlineStr">
        <is>
          <t>13.9%</t>
        </is>
      </c>
      <c r="F40" s="68" t="inlineStr">
        <is>
          <t>Tỷ lệ hỏng hóc dự phòng 5% + chi phí vận chuyển bảo hành</t>
        </is>
      </c>
      <c r="G40" s="69" t="inlineStr">
        <is>
          <t>Bảo hành &amp; Hỗ trợ</t>
        </is>
      </c>
      <c r="H40" s="68" t="inlineStr">
        <is>
          <t>Bộ phận CS &amp; Hậu mãi</t>
        </is>
      </c>
      <c r="I40" s="68" t="inlineStr">
        <is>
          <t>Mục 5.3 Chính sách bảo hành</t>
        </is>
      </c>
    </row>
    <row r="41" ht="22" customHeight="1">
      <c r="A41" s="69" t="inlineStr">
        <is>
          <t>BOM-07</t>
        </is>
      </c>
      <c r="B41" s="67" t="inlineStr">
        <is>
          <t>Chiết khấu Kênh Đối tác SI (12%)</t>
        </is>
      </c>
      <c r="C41" s="68" t="inlineStr">
        <is>
          <t>Hoa hồng chia sẻ cho đại lý tích hợp hệ thống vừa và nhỏ tại Hà Nội</t>
        </is>
      </c>
      <c r="D41" s="78" t="n">
        <v>630000</v>
      </c>
      <c r="E41" s="69" t="inlineStr">
        <is>
          <t>14.5%</t>
        </is>
      </c>
      <c r="F41" s="68" t="inlineStr">
        <is>
          <t>Đảm bảo đối tác có động lực phân phối phần cứng AERO</t>
        </is>
      </c>
      <c r="G41" s="69" t="inlineStr">
        <is>
          <t>Chi phí bán hàng</t>
        </is>
      </c>
      <c r="H41" s="68" t="inlineStr">
        <is>
          <t>Đối tác SI phân phối</t>
        </is>
      </c>
      <c r="I41" s="68" t="inlineStr">
        <is>
          <t>Mục 5.4 Kênh B2B2C</t>
        </is>
      </c>
    </row>
    <row r="42" ht="24" customHeight="1">
      <c r="A42" s="79" t="inlineStr">
        <is>
          <t>TỔNG COGS</t>
        </is>
      </c>
      <c r="B42" s="80" t="inlineStr">
        <is>
          <t>TỔNG GIÁ VỐN HÀNG BÁN / 1 THIẾT BỊ</t>
        </is>
      </c>
      <c r="C42" s="80" t="inlineStr">
        <is>
          <t>Đã bao gồm thiết bị + phụ kiện + công lắp đặt on-site + bảo hành + hoa hồng SI</t>
        </is>
      </c>
      <c r="D42" s="81">
        <f>SUM(D35:D41)</f>
        <v/>
      </c>
      <c r="E42" s="79" t="inlineStr">
        <is>
          <t>100.0%</t>
        </is>
      </c>
      <c r="F42" s="80" t="inlineStr">
        <is>
          <t>Biên lợi nhuận gộp thiết bị: 17,5% (Lợi nhuận gộp: 920.000 đ/box)</t>
        </is>
      </c>
      <c r="G42" s="82" t="inlineStr">
        <is>
          <t>Giá bán niêm yết:</t>
        </is>
      </c>
      <c r="H42" s="79" t="inlineStr">
        <is>
          <t>5.250.000 đ</t>
        </is>
      </c>
      <c r="I42" s="80" t="inlineStr">
        <is>
          <t>Khớp 100% Mục 5.3 &amp; 5.5</t>
        </is>
      </c>
    </row>
    <row r="44" ht="25" customHeight="1">
      <c r="A44" s="76" t="inlineStr">
        <is>
          <t>BẢNG B2: MA TRẬN ĐỊNH GIÁ DỊCH VỤ SAAS &amp; SO SÁNH CHI PHÍ SỞ HỮU TỔNG THỂ (TCO 3 NĂM)</t>
        </is>
      </c>
      <c r="B44" s="65" t="n"/>
      <c r="C44" s="65" t="n"/>
      <c r="D44" s="65" t="n"/>
      <c r="E44" s="65" t="n"/>
      <c r="F44" s="65" t="n"/>
      <c r="G44" s="65" t="n"/>
      <c r="H44" s="65" t="n"/>
      <c r="I44" s="65" t="n"/>
    </row>
    <row r="45" ht="24" customHeight="1">
      <c r="A45" s="77" t="inlineStr">
        <is>
          <t>Gói Dịch vụ</t>
        </is>
      </c>
      <c r="B45" s="77" t="inlineStr">
        <is>
          <t>Giá thuê bao / tháng</t>
        </is>
      </c>
      <c r="C45" s="77" t="inlineStr">
        <is>
          <t>Biên lãi gộp</t>
        </is>
      </c>
      <c r="D45" s="77" t="inlineStr">
        <is>
          <t>Tính năng Phát hiện Bất thường</t>
        </is>
      </c>
      <c r="E45" s="77" t="inlineStr">
        <is>
          <t>Quản lý Data Lakehouse</t>
        </is>
      </c>
      <c r="F45" s="77" t="inlineStr">
        <is>
          <t>Dashboard &amp; Báo cáo</t>
        </is>
      </c>
      <c r="G45" s="77" t="inlineStr">
        <is>
          <t>Thời gian lưu trữ log</t>
        </is>
      </c>
      <c r="H45" s="77" t="inlineStr">
        <is>
          <t>SLA Hỗ trợ</t>
        </is>
      </c>
      <c r="I45" s="77" t="inlineStr">
        <is>
          <t>Đối tượng Khách hàng Mục tiêu</t>
        </is>
      </c>
    </row>
    <row r="46" ht="24" customHeight="1">
      <c r="A46" s="83" t="inlineStr">
        <is>
          <t>Gói Basic</t>
        </is>
      </c>
      <c r="B46" s="69" t="inlineStr">
        <is>
          <t>300.000 đ</t>
        </is>
      </c>
      <c r="C46" s="69" t="inlineStr">
        <is>
          <t>58.0%</t>
        </is>
      </c>
      <c r="D46" s="68" t="inlineStr">
        <is>
          <t>Giám sát lưu lượng biên cơ bản + Rule-based</t>
        </is>
      </c>
      <c r="E46" s="68" t="inlineStr">
        <is>
          <t>Lưu trữ nội bộ SQLite Catalog</t>
        </is>
      </c>
      <c r="F46" s="68" t="inlineStr">
        <is>
          <t>Dashboard Web cơ bản</t>
        </is>
      </c>
      <c r="G46" s="69" t="inlineStr">
        <is>
          <t>7 ngày</t>
        </is>
      </c>
      <c r="H46" s="69" t="inlineStr">
        <is>
          <t>Giờ hành chính (8/5)</t>
        </is>
      </c>
      <c r="I46" s="68" t="inlineStr">
        <is>
          <t>Văn phòng nhỏ, trường mầm non, cửa hàng</t>
        </is>
      </c>
    </row>
    <row r="47" ht="24" customHeight="1">
      <c r="A47" s="83" t="inlineStr">
        <is>
          <t>Gói Pro (Chủ lực)</t>
        </is>
      </c>
      <c r="B47" s="69" t="inlineStr">
        <is>
          <t>550.000 đ</t>
        </is>
      </c>
      <c r="C47" s="69" t="inlineStr">
        <is>
          <t>60.0%</t>
        </is>
      </c>
      <c r="D47" s="68" t="inlineStr">
        <is>
          <t>Dual ML Pipeline: Anomaly (Tier 1) + Classifier 15 lớp (Tier 2)</t>
        </is>
      </c>
      <c r="E47" s="68" t="inlineStr">
        <is>
          <t>Đầy đủ Parquet Hot/Cold Storage + Partition ngày</t>
        </is>
      </c>
      <c r="F47" s="68" t="inlineStr">
        <is>
          <t>Dashboard SOC Realtime + Webhook cảnh báo</t>
        </is>
      </c>
      <c r="G47" s="69" t="inlineStr">
        <is>
          <t>30 ngày</t>
        </is>
      </c>
      <c r="H47" s="69" t="inlineStr">
        <is>
          <t>Phản hồi &lt; 4h (12/7)</t>
        </is>
      </c>
      <c r="I47" s="68" t="inlineStr">
        <is>
          <t>SMEs 50-300 thiết bị, trường học, chi nhánh ngân hàng</t>
        </is>
      </c>
    </row>
    <row r="48" ht="24" customHeight="1">
      <c r="A48" s="83" t="inlineStr">
        <is>
          <t>Gói Enterprise</t>
        </is>
      </c>
      <c r="B48" s="69" t="inlineStr">
        <is>
          <t>800.000 đ</t>
        </is>
      </c>
      <c r="C48" s="69" t="inlineStr">
        <is>
          <t>65.0%</t>
        </is>
      </c>
      <c r="D48" s="68" t="inlineStr">
        <is>
          <t>Full ML Suite + Tùy biến ngưỡng theo từng điểm giám sát</t>
        </is>
      </c>
      <c r="E48" s="68" t="inlineStr">
        <is>
          <t>Data Lakehouse dài hạn + Trích xuất huấn luyện lại</t>
        </is>
      </c>
      <c r="F48" s="68" t="inlineStr">
        <is>
          <t>Multi-tenant Dashboard + Tích hợp SIEM/Syslog</t>
        </is>
      </c>
      <c r="G48" s="69" t="inlineStr">
        <is>
          <t>12 tháng</t>
        </is>
      </c>
      <c r="H48" s="69" t="inlineStr">
        <is>
          <t>Ưu tiên 24/7 + Onsite</t>
        </is>
      </c>
      <c r="I48" s="68" t="inlineStr">
        <is>
          <t>Hạ tầng mạng phân tán, chuỗi chi nhánh, bệnh viện</t>
        </is>
      </c>
    </row>
    <row r="50" ht="25" customHeight="1">
      <c r="A50" s="76" t="inlineStr">
        <is>
          <t>BẢNG B3: DỰ TOÁN CHI PHÍ HẠ TẦNG MÁY CHỦ CLOUD &amp; PARQUET DATA LAKEHOUSE (NĂM 1 - NĂM 3)</t>
        </is>
      </c>
      <c r="B50" s="65" t="n"/>
      <c r="C50" s="65" t="n"/>
      <c r="D50" s="65" t="n"/>
      <c r="E50" s="65" t="n"/>
      <c r="F50" s="65" t="n"/>
      <c r="G50" s="65" t="n"/>
      <c r="H50" s="65" t="n"/>
      <c r="I50" s="65" t="n"/>
    </row>
    <row r="51" ht="24" customHeight="1">
      <c r="A51" s="77" t="inlineStr">
        <is>
          <t>Giai đoạn</t>
        </is>
      </c>
      <c r="B51" s="77" t="inlineStr">
        <is>
          <t>Số Box Hoạt động</t>
        </is>
      </c>
      <c r="C51" s="77" t="inlineStr">
        <is>
          <t>Lưu lượng Bản ghi / Tháng</t>
        </is>
      </c>
      <c r="D51" s="77" t="inlineStr">
        <is>
          <t>Cấu hình Máy chủ Cloud</t>
        </is>
      </c>
      <c r="E51" s="77" t="inlineStr">
        <is>
          <t>Lưu trữ Data Lake Parquet</t>
        </is>
      </c>
      <c r="F51" s="77" t="inlineStr">
        <is>
          <t>Băng thông &amp; Mạng</t>
        </is>
      </c>
      <c r="G51" s="77" t="inlineStr">
        <is>
          <t>Chi phí / Tháng</t>
        </is>
      </c>
      <c r="H51" s="77" t="inlineStr">
        <is>
          <t>Tổng Chi phí / Năm</t>
        </is>
      </c>
      <c r="I51" s="77" t="inlineStr">
        <is>
          <t>Ghi chú Vận hành &amp; Mở rộng</t>
        </is>
      </c>
    </row>
    <row r="52" ht="22" customHeight="1">
      <c r="A52" s="83" t="inlineStr">
        <is>
          <t>Năm 1 (Thương mại hóa)</t>
        </is>
      </c>
      <c r="B52" s="69" t="inlineStr">
        <is>
          <t>60 Thiết bị</t>
        </is>
      </c>
      <c r="C52" s="69" t="inlineStr">
        <is>
          <t>~5,1 triệu bản ghi / tháng</t>
        </is>
      </c>
      <c r="D52" s="68" t="inlineStr">
        <is>
          <t>1x VPS (4 vCPU, 8GB RAM, SSD 100GB)</t>
        </is>
      </c>
      <c r="E52" s="68" t="inlineStr">
        <is>
          <t>Cloud Object Storage 300GB</t>
        </is>
      </c>
      <c r="F52" s="69" t="inlineStr">
        <is>
          <t>IP Tĩnh + 2TB Băng thông</t>
        </is>
      </c>
      <c r="G52" s="78" t="n">
        <v>3500000</v>
      </c>
      <c r="H52" s="78" t="n">
        <v>42000000</v>
      </c>
      <c r="I52" s="68" t="inlineStr">
        <is>
          <t>1 Instance chạy Embedded MQTT Broker + Ingestion Collector</t>
        </is>
      </c>
    </row>
    <row r="53" ht="22" customHeight="1">
      <c r="A53" s="83" t="inlineStr">
        <is>
          <t>Năm 2 (Mở rộng quy mô)</t>
        </is>
      </c>
      <c r="B53" s="69" t="inlineStr">
        <is>
          <t>260 Thiết bị</t>
        </is>
      </c>
      <c r="C53" s="69" t="inlineStr">
        <is>
          <t>~22,4 triệu bản ghi / tháng</t>
        </is>
      </c>
      <c r="D53" s="68" t="inlineStr">
        <is>
          <t>Cụm 2x VPS (8 vCPU, 16GB RAM)</t>
        </is>
      </c>
      <c r="E53" s="68" t="inlineStr">
        <is>
          <t>Parquet Data Lake 2TB (Snappy)</t>
        </is>
      </c>
      <c r="F53" s="69" t="inlineStr">
        <is>
          <t>IP Tĩnh + 5TB Băng thông</t>
        </is>
      </c>
      <c r="G53" s="78" t="n">
        <v>8500000</v>
      </c>
      <c r="H53" s="78" t="n">
        <v>102000000</v>
      </c>
      <c r="I53" s="68" t="inlineStr">
        <is>
          <t>Cân bằng tải Nginx, tách biệt Ingestion Collector và Dashboard</t>
        </is>
      </c>
    </row>
    <row r="54" ht="22" customHeight="1">
      <c r="A54" s="83" t="inlineStr">
        <is>
          <t>Năm 3 (Tăng trưởng cao)</t>
        </is>
      </c>
      <c r="B54" s="69" t="inlineStr">
        <is>
          <t>700 Thiết bị</t>
        </is>
      </c>
      <c r="C54" s="69" t="inlineStr">
        <is>
          <t>~60,4 triệu bản ghi / tháng</t>
        </is>
      </c>
      <c r="D54" s="68" t="inlineStr">
        <is>
          <t>Cụm Cloud Scaling (16 vCPU, 32GB RAM)</t>
        </is>
      </c>
      <c r="E54" s="68" t="inlineStr">
        <is>
          <t>Data Lake Tiering 8TB (Hot/Cold)</t>
        </is>
      </c>
      <c r="F54" s="69" t="inlineStr">
        <is>
          <t>Dedicated 1Gbps Port</t>
        </is>
      </c>
      <c r="G54" s="78" t="n">
        <v>18000000</v>
      </c>
      <c r="H54" s="78" t="n">
        <v>216000000</v>
      </c>
      <c r="I54" s="68" t="inlineStr">
        <is>
          <t>Tối ưu hóa nén Parquet theo phân vùng ngày và backup SQLite</t>
        </is>
      </c>
    </row>
    <row r="56" ht="25" customHeight="1">
      <c r="A56" s="76" t="inlineStr">
        <is>
          <t>BẢNG B4: BẢNG DỰ PHÓNG TÀI CHÍNH 3 NĂM &amp; CÁC CỘT MỐC DÒNG TIỀN (NĂM 1 - NĂM 3)</t>
        </is>
      </c>
      <c r="B56" s="65" t="n"/>
      <c r="C56" s="65" t="n"/>
      <c r="D56" s="65" t="n"/>
      <c r="E56" s="65" t="n"/>
      <c r="F56" s="65" t="n"/>
      <c r="G56" s="65" t="n"/>
      <c r="H56" s="65" t="n"/>
      <c r="I56" s="65" t="n"/>
    </row>
    <row r="57" ht="24" customHeight="1">
      <c r="A57" s="77" t="inlineStr">
        <is>
          <t>Chỉ tiêu Tài chính (Đơn vị: Triệu VNĐ)</t>
        </is>
      </c>
      <c r="B57" s="77" t="inlineStr">
        <is>
          <t>Năm 1 (Q1-Q4)</t>
        </is>
      </c>
      <c r="C57" s="77" t="inlineStr">
        <is>
          <t>Năm 2 (Q5-Q8)</t>
        </is>
      </c>
      <c r="D57" s="77" t="inlineStr">
        <is>
          <t>Năm 3 (Q9-Q12)</t>
        </is>
      </c>
      <c r="E57" s="77" t="inlineStr">
        <is>
          <t>Tổng 3 Năm</t>
        </is>
      </c>
      <c r="F57" s="77" t="inlineStr">
        <is>
          <t>Công thức / Phương pháp tính toán</t>
        </is>
      </c>
      <c r="G57" s="77" t="inlineStr">
        <is>
          <t>Giả định Churn &amp; Tăng trưởng</t>
        </is>
      </c>
      <c r="H57" s="77" t="inlineStr">
        <is>
          <t>Căn cứ trong Đề án</t>
        </is>
      </c>
      <c r="I57" s="77" t="inlineStr">
        <is>
          <t>Đánh giá Tính khả thi</t>
        </is>
      </c>
    </row>
    <row r="58" ht="22" customHeight="1">
      <c r="A58" s="68" t="inlineStr">
        <is>
          <t>Số thiết bị bán mới trong năm (Box)</t>
        </is>
      </c>
      <c r="B58" s="84" t="n">
        <v>60</v>
      </c>
      <c r="C58" s="84" t="n">
        <v>200</v>
      </c>
      <c r="D58" s="84" t="n">
        <v>440</v>
      </c>
      <c r="E58" s="85">
        <f>SUM(B58:D58)</f>
        <v/>
      </c>
      <c r="F58" s="68" t="inlineStr">
        <is>
          <t>Kế hoạch bán hàng qua kênh Direct + Đối tác SI</t>
        </is>
      </c>
      <c r="G58" s="68" t="inlineStr">
        <is>
          <t>Năm 1: 15 box/quý; N2: 50 box/quý; N3: 110 box/quý</t>
        </is>
      </c>
      <c r="H58" s="69" t="inlineStr">
        <is>
          <t>Mục 5.4 &amp; 5.5</t>
        </is>
      </c>
      <c r="I58" s="69" t="inlineStr">
        <is>
          <t>Khả thi cao</t>
        </is>
      </c>
    </row>
    <row r="59" ht="22" customHeight="1">
      <c r="A59" s="68" t="inlineStr">
        <is>
          <t>Số thiết bị lũy kế lắp đặt (Box)</t>
        </is>
      </c>
      <c r="B59" s="84" t="n">
        <v>60</v>
      </c>
      <c r="C59" s="84" t="n">
        <v>260</v>
      </c>
      <c r="D59" s="84" t="n">
        <v>700</v>
      </c>
      <c r="E59" s="84" t="n">
        <v>700</v>
      </c>
      <c r="F59" s="68" t="inlineStr">
        <is>
          <t>Lũy kế thiết bị biên vật lý đã xuất xưởng</t>
        </is>
      </c>
      <c r="G59" s="68" t="inlineStr">
        <is>
          <t>Khách hàng mua phần cứng không đổi</t>
        </is>
      </c>
      <c r="H59" s="69" t="inlineStr">
        <is>
          <t>Mục 5.5 Hình 5.2</t>
        </is>
      </c>
      <c r="I59" s="69" t="inlineStr">
        <is>
          <t>Đạt mục tiêu SOM</t>
        </is>
      </c>
    </row>
    <row r="60" ht="22" customHeight="1">
      <c r="A60" s="68" t="inlineStr">
        <is>
          <t>Số thuê bao duy trì hoạt động (Active Subs)</t>
        </is>
      </c>
      <c r="B60" s="84" t="n">
        <v>54</v>
      </c>
      <c r="C60" s="84" t="n">
        <v>230</v>
      </c>
      <c r="D60" s="84" t="n">
        <v>640</v>
      </c>
      <c r="E60" s="84" t="n">
        <v>640</v>
      </c>
      <c r="F60" s="68" t="inlineStr">
        <is>
          <t>Đã trừ tỷ lệ rời bỏ Churn (N1: 3%/tháng, N2+: 1.2%/tháng)</t>
        </is>
      </c>
      <c r="G60" s="68" t="inlineStr">
        <is>
          <t>Retention sau 24 tháng đạt ~65%</t>
        </is>
      </c>
      <c r="H60" s="69" t="inlineStr">
        <is>
          <t>Mục 5.5 Churn model</t>
        </is>
      </c>
      <c r="I60" s="69" t="inlineStr">
        <is>
          <t>Chuẩn SaaS B2B</t>
        </is>
      </c>
    </row>
    <row r="61" ht="22" customHeight="1">
      <c r="A61" s="68" t="inlineStr">
        <is>
          <t>Doanh thu Bán thiết bị (Hardware Revenue)</t>
        </is>
      </c>
      <c r="B61" s="85" t="n">
        <v>315</v>
      </c>
      <c r="C61" s="85" t="n">
        <v>1050</v>
      </c>
      <c r="D61" s="85" t="n">
        <v>2310</v>
      </c>
      <c r="E61" s="85">
        <f>SUM(B61:D61)</f>
        <v/>
      </c>
      <c r="F61" s="68" t="inlineStr">
        <is>
          <t>Số box bán mới × Giá 5,25 triệu VNĐ/thiết bị</t>
        </is>
      </c>
      <c r="G61" s="68" t="inlineStr">
        <is>
          <t>Giá niêm yết không đổi trong 3 năm</t>
        </is>
      </c>
      <c r="H61" s="69" t="inlineStr">
        <is>
          <t>Mục 5.3 &amp; 5.5</t>
        </is>
      </c>
      <c r="I61" s="69" t="inlineStr">
        <is>
          <t>Dòng tiền tức thời</t>
        </is>
      </c>
    </row>
    <row r="62" ht="22" customHeight="1">
      <c r="A62" s="68" t="inlineStr">
        <is>
          <t>Doanh thu Thuê bao dịch vụ (SaaS Subscription)</t>
        </is>
      </c>
      <c r="B62" s="85" t="n">
        <v>65</v>
      </c>
      <c r="C62" s="85" t="n">
        <v>890</v>
      </c>
      <c r="D62" s="85" t="n">
        <v>3050</v>
      </c>
      <c r="E62" s="85">
        <f>SUM(B62:D62)</f>
        <v/>
      </c>
      <c r="F62" s="68" t="inlineStr">
        <is>
          <t>Số thuê bao active × ARPU 550.000 VNĐ/tháng</t>
        </is>
      </c>
      <c r="G62" s="68" t="inlineStr">
        <is>
          <t>Doanh thu định kỳ tích lũy theo thời gian</t>
        </is>
      </c>
      <c r="H62" s="69" t="inlineStr">
        <is>
          <t>Mục 5.3 &amp; 5.5</t>
        </is>
      </c>
      <c r="I62" s="69" t="inlineStr">
        <is>
          <t>Biên lợi nhuận cao</t>
        </is>
      </c>
    </row>
    <row r="63" ht="22" customHeight="1">
      <c r="A63" s="86" t="inlineStr">
        <is>
          <t>TỔNG DOANH THU (REVENUE)</t>
        </is>
      </c>
      <c r="B63" s="87" t="n">
        <v>380</v>
      </c>
      <c r="C63" s="87" t="n">
        <v>1940</v>
      </c>
      <c r="D63" s="87" t="n">
        <v>5360</v>
      </c>
      <c r="E63" s="87">
        <f>SUM(B63:D63)</f>
        <v/>
      </c>
      <c r="F63" s="86" t="inlineStr">
        <is>
          <t>Doanh thu Thiết bị + Doanh thu Thuê bao SaaS</t>
        </is>
      </c>
      <c r="G63" s="86" t="inlineStr">
        <is>
          <t>Tăng trưởng: N2 gấp 5.1x; N3 gấp 2.8x</t>
        </is>
      </c>
      <c r="H63" s="88" t="inlineStr">
        <is>
          <t>Khớp 100% P503-505</t>
        </is>
      </c>
      <c r="I63" s="88" t="inlineStr">
        <is>
          <t>Đạt mục tiêu đề án</t>
        </is>
      </c>
    </row>
    <row r="64" ht="22" customHeight="1">
      <c r="A64" s="68" t="inlineStr">
        <is>
          <t>Giá vốn hàng bán (COGS Phần cứng &amp; Dịch vụ)</t>
        </is>
      </c>
      <c r="B64" s="85" t="n">
        <v>270</v>
      </c>
      <c r="C64" s="85" t="n">
        <v>930</v>
      </c>
      <c r="D64" s="85" t="n">
        <v>2010</v>
      </c>
      <c r="E64" s="85">
        <f>SUM(B64:D64)</f>
        <v/>
      </c>
      <c r="F64" s="68" t="inlineStr">
        <is>
          <t>COGS phần cứng (4,33Tr/box) + Chi phí server direct</t>
        </is>
      </c>
      <c r="G64" s="68" t="inlineStr">
        <is>
          <t>Biên gộp tổng thể cải thiện từ 29% lên 62%</t>
        </is>
      </c>
      <c r="H64" s="69" t="inlineStr">
        <is>
          <t>Mục 5.3 BoM chi tiết</t>
        </is>
      </c>
      <c r="I64" s="69" t="inlineStr">
        <is>
          <t>Kiểm soát tốt</t>
        </is>
      </c>
    </row>
    <row r="65" ht="22" customHeight="1">
      <c r="A65" s="68" t="inlineStr">
        <is>
          <t>Chi phí Vận hành (OPEX &amp; Nhân sự, Mkt, R&amp;D)</t>
        </is>
      </c>
      <c r="B65" s="85" t="n">
        <v>710</v>
      </c>
      <c r="C65" s="85" t="n">
        <v>1300</v>
      </c>
      <c r="D65" s="85" t="n">
        <v>1850</v>
      </c>
      <c r="E65" s="85">
        <f>SUM(B65:D65)</f>
        <v/>
      </c>
      <c r="F65" s="68" t="inlineStr">
        <is>
          <t>Lương đội ngũ + Cloud Server + Mkt/Sales + R&amp;D</t>
        </is>
      </c>
      <c r="G65" s="68" t="inlineStr">
        <is>
          <t>Tối ưu hóa quy mô khi mở rộng</t>
        </is>
      </c>
      <c r="H65" s="69" t="inlineStr">
        <is>
          <t>Mục 1.4 &amp; 5.5</t>
        </is>
      </c>
      <c r="I65" s="69" t="inlineStr">
        <is>
          <t>Thực tế và an toàn</t>
        </is>
      </c>
    </row>
    <row r="66" ht="22" customHeight="1">
      <c r="A66" s="86" t="inlineStr">
        <is>
          <t>TỔNG CHI PHÍ (COGS + OPEX)</t>
        </is>
      </c>
      <c r="B66" s="87" t="n">
        <v>980</v>
      </c>
      <c r="C66" s="87" t="n">
        <v>2230</v>
      </c>
      <c r="D66" s="87" t="n">
        <v>3860</v>
      </c>
      <c r="E66" s="87">
        <f>SUM(B66:D66)</f>
        <v/>
      </c>
      <c r="F66" s="86" t="inlineStr">
        <is>
          <t>Tổng toàn bộ dòng tiền chi ra trong năm</t>
        </is>
      </c>
      <c r="G66" s="86" t="inlineStr">
        <is>
          <t>Khớp 100% số liệu P507-509 Thuyết minh</t>
        </is>
      </c>
      <c r="H66" s="88" t="inlineStr">
        <is>
          <t>Khớp 100% P507-509</t>
        </is>
      </c>
      <c r="I66" s="88" t="inlineStr">
        <is>
          <t>Đã cân đối vốn gọi</t>
        </is>
      </c>
    </row>
    <row r="67" ht="22" customHeight="1">
      <c r="A67" s="86" t="inlineStr">
        <is>
          <t>DÒNG TIỀN THUẦN TRONG NĂM (NET CASHFLOW)</t>
        </is>
      </c>
      <c r="B67" s="87" t="n">
        <v>-600</v>
      </c>
      <c r="C67" s="87" t="n">
        <v>-290</v>
      </c>
      <c r="D67" s="87" t="n">
        <v>1500</v>
      </c>
      <c r="E67" s="87">
        <f>SUM(B67:D67)</f>
        <v/>
      </c>
      <c r="F67" s="86" t="inlineStr">
        <is>
          <t>Tổng Doanh thu - Tổng Chi phí</t>
        </is>
      </c>
      <c r="G67" s="86" t="inlineStr">
        <is>
          <t>Năm 1 &amp; 2 âm dòng tiền để xây dựng mạng lưới</t>
        </is>
      </c>
      <c r="H67" s="88" t="inlineStr">
        <is>
          <t>Khớp 100% P511-513</t>
        </is>
      </c>
      <c r="I67" s="88" t="inlineStr">
        <is>
          <t>Quy luật Startup</t>
        </is>
      </c>
    </row>
    <row r="68" ht="22" customHeight="1">
      <c r="A68" s="86" t="inlineStr">
        <is>
          <t>DÒNG TIỀN LŨY KẾ (CUMULATIVE CASHFLOW)</t>
        </is>
      </c>
      <c r="B68" s="87" t="n">
        <v>-600</v>
      </c>
      <c r="C68" s="87" t="n">
        <v>-890</v>
      </c>
      <c r="D68" s="87" t="n">
        <v>610</v>
      </c>
      <c r="E68" s="87" t="n">
        <v>610</v>
      </c>
      <c r="F68" s="86" t="inlineStr">
        <is>
          <t>Dòng tiền thuần tích lũy qua từng năm</t>
        </is>
      </c>
      <c r="G68" s="86" t="inlineStr">
        <is>
          <t>Điểm hòa vốn xuất hiện vào đầu Năm 3</t>
        </is>
      </c>
      <c r="H68" s="88" t="inlineStr">
        <is>
          <t>Khớp 100% P515-517</t>
        </is>
      </c>
      <c r="I68" s="88" t="inlineStr">
        <is>
          <t>Cơ sở gọi 2.5 Tỷ</t>
        </is>
      </c>
    </row>
    <row r="70" ht="25" customHeight="1">
      <c r="A70" s="76" t="inlineStr">
        <is>
          <t>BẢNG B5: KẾ HOẠCH PHÂN BỔ VÀ SỬ DỤNG VỐN GỌI VÒNG HẠT GIỐNG (SEED ROUND: 2.500.000.000 VNĐ)</t>
        </is>
      </c>
      <c r="B70" s="65" t="n"/>
      <c r="C70" s="65" t="n"/>
      <c r="D70" s="65" t="n"/>
      <c r="E70" s="65" t="n"/>
      <c r="F70" s="65" t="n"/>
      <c r="G70" s="65" t="n"/>
      <c r="H70" s="65" t="n"/>
      <c r="I70" s="65" t="n"/>
    </row>
    <row r="71" ht="24" customHeight="1">
      <c r="A71" s="77" t="inlineStr">
        <is>
          <t>Trụ cột Phân bổ Vốn</t>
        </is>
      </c>
      <c r="B71" s="77" t="inlineStr">
        <is>
          <t>Tỷ lệ (%)</t>
        </is>
      </c>
      <c r="C71" s="77" t="inlineStr">
        <is>
          <t>Số tiền (VNĐ)</t>
        </is>
      </c>
      <c r="D71" s="77" t="inlineStr">
        <is>
          <t>Mục tiêu &amp; Hạng mục Chi tiêu Chi tiết</t>
        </is>
      </c>
      <c r="E71" s="77" t="inlineStr">
        <is>
          <t>Mốc Giải ngân (Milestones)</t>
        </is>
      </c>
      <c r="F71" s="77" t="inlineStr">
        <is>
          <t>Kết quả Nghiệm thu Dự kiến</t>
        </is>
      </c>
      <c r="G71" s="77" t="inlineStr">
        <is>
          <t>Thời gian Sử dụng Vốn</t>
        </is>
      </c>
      <c r="H71" s="77" t="inlineStr">
        <is>
          <t>Phụ trách Quản lý Quỹ</t>
        </is>
      </c>
      <c r="I71" s="77" t="inlineStr">
        <is>
          <t>Căn cứ Đề án</t>
        </is>
      </c>
    </row>
    <row r="72" ht="26" customHeight="1">
      <c r="A72" s="67" t="inlineStr">
        <is>
          <t>1. R&amp;D / Sản phẩm &amp; Phần cứng</t>
        </is>
      </c>
      <c r="B72" s="69" t="inlineStr">
        <is>
          <t>42.0%</t>
        </is>
      </c>
      <c r="C72" s="78" t="n">
        <v>1050000000</v>
      </c>
      <c r="D72" s="68" t="inlineStr">
        <is>
          <t>Hoàn thiện MVP, thiết kế mạch PCB công nghiệp, kiểm định chứng nhận an toàn, tối ưu mô hình TinyML &amp; Dual ML Pipeline</t>
        </is>
      </c>
      <c r="E72" s="69" t="inlineStr">
        <is>
          <t>Q3/2026 - Q1/2027</t>
        </is>
      </c>
      <c r="F72" s="68" t="inlineStr">
        <is>
          <t>Lô 60 thiết bị chuẩn hóa thương mại + Model artifacts</t>
        </is>
      </c>
      <c r="G72" s="69" t="inlineStr">
        <is>
          <t>12 tháng đầu</t>
        </is>
      </c>
      <c r="H72" s="68" t="inlineStr">
        <is>
          <t>Nguyễn Hữu Đức Anh (AI Lead)</t>
        </is>
      </c>
      <c r="I72" s="69" t="inlineStr">
        <is>
          <t>Mục 1.4 &amp; Mục 4.3</t>
        </is>
      </c>
    </row>
    <row r="73" ht="26" customHeight="1">
      <c r="A73" s="67" t="inlineStr">
        <is>
          <t>2. Nhân sự Kỹ thuật &amp; Vận hành</t>
        </is>
      </c>
      <c r="B73" s="69" t="inlineStr">
        <is>
          <t>28.0%</t>
        </is>
      </c>
      <c r="C73" s="78" t="n">
        <v>700000000</v>
      </c>
      <c r="D73" s="68" t="inlineStr">
        <is>
          <t>Duy trì phụ cấp 4 Co-founders toàn thời gian + thuê cố vấn chuyên gia an ninh mạng độc lập + 1 kỹ thuật viên triển khai</t>
        </is>
      </c>
      <c r="E73" s="69" t="inlineStr">
        <is>
          <t>Hàng tháng (Tháng 1-12)</t>
        </is>
      </c>
      <c r="F73" s="68" t="inlineStr">
        <is>
          <t>Đảm bảo vận hành hệ thống 24/7 và hỗ trợ khách hàng</t>
        </is>
      </c>
      <c r="G73" s="69" t="inlineStr">
        <is>
          <t>12 tháng đầu</t>
        </is>
      </c>
      <c r="H73" s="68" t="inlineStr">
        <is>
          <t>Ban Điều hành AERO</t>
        </is>
      </c>
      <c r="I73" s="69" t="inlineStr">
        <is>
          <t>Mục 1.4 &amp; Mục 6.1</t>
        </is>
      </c>
    </row>
    <row r="74" ht="26" customHeight="1">
      <c r="A74" s="67" t="inlineStr">
        <is>
          <t>3. Marketing &amp; Phát triển Thị trường</t>
        </is>
      </c>
      <c r="B74" s="69" t="inlineStr">
        <is>
          <t>20.0%</t>
        </is>
      </c>
      <c r="C74" s="78" t="n">
        <v>500000000</v>
      </c>
      <c r="D74" s="68" t="inlineStr">
        <is>
          <t>Triển khai chương trình Pilot POC 5 đối tác, tham gia sự kiện Sáng tạo trẻ, viết Whitepaper, mở rộng 3 đại lý SI tại Hà Nội</t>
        </is>
      </c>
      <c r="E74" s="69" t="inlineStr">
        <is>
          <t>Q4/2026 - Q2/2027</t>
        </is>
      </c>
      <c r="F74" s="68" t="inlineStr">
        <is>
          <t>60 khách hàng trả phí đầu tiên + 3 đối tác phân phối</t>
        </is>
      </c>
      <c r="G74" s="69" t="inlineStr">
        <is>
          <t>18 tháng</t>
        </is>
      </c>
      <c r="H74" s="68" t="inlineStr">
        <is>
          <t>Phụ trách Kinh tế / All</t>
        </is>
      </c>
      <c r="I74" s="69" t="inlineStr">
        <is>
          <t>Mục 1.4 &amp; Mục 5.4</t>
        </is>
      </c>
    </row>
    <row r="75" ht="26" customHeight="1">
      <c r="A75" s="67" t="inlineStr">
        <is>
          <t>4. Dự phòng Rủi ro &amp; Pháp lý</t>
        </is>
      </c>
      <c r="B75" s="69" t="inlineStr">
        <is>
          <t>10.0%</t>
        </is>
      </c>
      <c r="C75" s="78" t="n">
        <v>250000000</v>
      </c>
      <c r="D75" s="68" t="inlineStr">
        <is>
          <t>Chi phí đăng ký bản quyền SHTT, thành lập doanh nghiệp KH&amp;CN, dự phòng biến động giá linh kiện và rủi ro thị trường</t>
        </is>
      </c>
      <c r="E75" s="69" t="inlineStr">
        <is>
          <t>Dự phòng linh hoạt</t>
        </is>
      </c>
      <c r="F75" s="68" t="inlineStr">
        <is>
          <t>Giấy phép SHTT + Đăng ký kinh doanh + Quỹ khẩn cấp</t>
        </is>
      </c>
      <c r="G75" s="69" t="inlineStr">
        <is>
          <t>24 tháng</t>
        </is>
      </c>
      <c r="H75" s="68" t="inlineStr">
        <is>
          <t>Đại diện Pháp luật AERO</t>
        </is>
      </c>
      <c r="I75" s="69" t="inlineStr">
        <is>
          <t>Mục 1.4 &amp; Mục 4.4</t>
        </is>
      </c>
    </row>
    <row r="76" ht="26" customHeight="1">
      <c r="A76" s="79" t="inlineStr">
        <is>
          <t>TỔNG VỐN GỌI VÒNG HẠT GIỐNG</t>
        </is>
      </c>
      <c r="B76" s="79" t="inlineStr">
        <is>
          <t>100.0%</t>
        </is>
      </c>
      <c r="C76" s="81">
        <f>SUM(C72:C75)</f>
        <v/>
      </c>
      <c r="D76" s="80" t="inlineStr">
        <is>
          <t>Đảm bảo Runway đủ cho 24 tháng vận hành cho đến khi đạt điểm hòa vốn</t>
        </is>
      </c>
      <c r="E76" s="79" t="inlineStr">
        <is>
          <t>Tháng 07/2026 - Tháng 06/2027</t>
        </is>
      </c>
      <c r="F76" s="80" t="inlineStr">
        <is>
          <t>Điểm hòa vốn đạt được tại Tháng thứ 25 (~520 Box active)</t>
        </is>
      </c>
      <c r="G76" s="79" t="inlineStr">
        <is>
          <t>Runway: 24 Tháng</t>
        </is>
      </c>
      <c r="H76" s="80" t="inlineStr">
        <is>
          <t>Ban Điều hành AERO</t>
        </is>
      </c>
      <c r="I76" s="79" t="inlineStr">
        <is>
          <t>Khớp 100% Mục 1.4</t>
        </is>
      </c>
    </row>
  </sheetData>
  <mergeCells count="24">
    <mergeCell ref="G4"/>
    <mergeCell ref="C5:D5"/>
    <mergeCell ref="E5:F5"/>
    <mergeCell ref="A56:I56"/>
    <mergeCell ref="A27:I27"/>
    <mergeCell ref="H4:I4"/>
    <mergeCell ref="A12:I12"/>
    <mergeCell ref="A50:I50"/>
    <mergeCell ref="C4:D4"/>
    <mergeCell ref="E4:F4"/>
    <mergeCell ref="A2:I2"/>
    <mergeCell ref="A33:I33"/>
    <mergeCell ref="A23:I23"/>
    <mergeCell ref="A8:I8"/>
    <mergeCell ref="G5"/>
    <mergeCell ref="A19:I19"/>
    <mergeCell ref="A44:I44"/>
    <mergeCell ref="A5:B5"/>
    <mergeCell ref="A31:I31"/>
    <mergeCell ref="A4:B4"/>
    <mergeCell ref="A1:I1"/>
    <mergeCell ref="A70:I70"/>
    <mergeCell ref="H5:I5"/>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2026-09-15T13:49:23Z</dcterms:created>
  <dcterms:modified xsi:type="dcterms:W3CDTF">2026-09-15T16:04:15Z</dcterms:modified>
  <cp:lastModifiedBy>Nguyen Huu Duc Anh 202416655</cp:lastModifiedBy>
</cp:coreProperties>
</file>